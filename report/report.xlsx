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nt\OneDrive\Рабочий стол\Topface_media\project\report\"/>
    </mc:Choice>
  </mc:AlternateContent>
  <xr:revisionPtr revIDLastSave="0" documentId="13_ncr:1_{A546A57C-0181-4188-BF66-59F0AEFDBD4B}" xr6:coauthVersionLast="45" xr6:coauthVersionMax="45" xr10:uidLastSave="{00000000-0000-0000-0000-000000000000}"/>
  <bookViews>
    <workbookView xWindow="3375" yWindow="3375" windowWidth="21600" windowHeight="11295" xr2:uid="{00000000-000D-0000-FFFF-FFFF00000000}"/>
  </bookViews>
  <sheets>
    <sheet name="Dashboard" sheetId="1" r:id="rId1"/>
    <sheet name="coef1_by_am_month_2023" sheetId="2" r:id="rId2"/>
    <sheet name="coef1_by_am_year_2023" sheetId="3" r:id="rId3"/>
    <sheet name="coef1_dept_month_2023" sheetId="4" r:id="rId4"/>
    <sheet name="coef1_dept_year_2023" sheetId="5" r:id="rId5"/>
    <sheet name="coef2_by_am_month_2023" sheetId="6" r:id="rId6"/>
    <sheet name="coef2_by_am_year_2023" sheetId="7" r:id="rId7"/>
    <sheet name="coef2_dept_month_2023" sheetId="8" r:id="rId8"/>
    <sheet name="coef2_dept_year_2023" sheetId="9" r:id="rId9"/>
  </sheets>
  <definedNames>
    <definedName name="ExternalData_1" localSheetId="1" hidden="1">'coef1_by_am_month_2023'!$A$1:$E$94</definedName>
    <definedName name="ExternalData_1" localSheetId="2" hidden="1">'coef1_by_am_year_2023'!$A$1:$E$11</definedName>
    <definedName name="ExternalData_1" localSheetId="3" hidden="1">'coef1_dept_month_2023'!$A$1:$E$13</definedName>
    <definedName name="ExternalData_1" localSheetId="4" hidden="1">'coef1_dept_year_2023'!$A$1:$E$2</definedName>
    <definedName name="ExternalData_1" localSheetId="5" hidden="1">'coef2_by_am_month_2023'!$A$1:$E$28</definedName>
    <definedName name="ExternalData_1" localSheetId="6" hidden="1">'coef2_by_am_year_2023'!$A$1:$E$8</definedName>
    <definedName name="ExternalData_1" localSheetId="7" hidden="1">'coef2_dept_month_2023'!$A$1:$E$11</definedName>
    <definedName name="ExternalData_1" localSheetId="8" hidden="1">'coef2_dept_year_2023'!$A$1:$E$2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" l="1"/>
  <c r="E3" i="1"/>
  <c r="F17" i="1"/>
  <c r="F18" i="1"/>
  <c r="F19" i="1"/>
  <c r="F20" i="1"/>
  <c r="F21" i="1"/>
  <c r="F22" i="1"/>
  <c r="F23" i="1"/>
  <c r="F24" i="1"/>
  <c r="F25" i="1"/>
  <c r="F26" i="1"/>
  <c r="F27" i="1"/>
  <c r="F16" i="1"/>
  <c r="E17" i="1"/>
  <c r="E18" i="1"/>
  <c r="E19" i="1"/>
  <c r="E20" i="1"/>
  <c r="E21" i="1"/>
  <c r="E22" i="1"/>
  <c r="E23" i="1"/>
  <c r="E24" i="1"/>
  <c r="E25" i="1"/>
  <c r="E26" i="1"/>
  <c r="E27" i="1"/>
  <c r="E16" i="1"/>
  <c r="D17" i="1"/>
  <c r="D18" i="1"/>
  <c r="D19" i="1"/>
  <c r="D20" i="1"/>
  <c r="D21" i="1"/>
  <c r="D22" i="1"/>
  <c r="D23" i="1"/>
  <c r="D24" i="1"/>
  <c r="D25" i="1"/>
  <c r="D26" i="1"/>
  <c r="D27" i="1"/>
  <c r="D16" i="1"/>
  <c r="C17" i="1"/>
  <c r="C18" i="1"/>
  <c r="C19" i="1"/>
  <c r="C20" i="1"/>
  <c r="C21" i="1"/>
  <c r="C22" i="1"/>
  <c r="C23" i="1"/>
  <c r="C24" i="1"/>
  <c r="C25" i="1"/>
  <c r="C26" i="1"/>
  <c r="C27" i="1"/>
  <c r="C16" i="1"/>
  <c r="C10" i="1"/>
  <c r="D10" i="1"/>
  <c r="D12" i="1"/>
  <c r="C12" i="1"/>
  <c r="C4" i="1"/>
  <c r="D4" i="1"/>
  <c r="D6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61B83-84BB-447F-94A9-C2294FFBCE7E}" keepAlive="1" name="Запрос — coef1_by_am_month_2023" description="Соединение с запросом &quot;coef1_by_am_month_2023&quot; в книге." type="5" refreshedVersion="6" background="1" saveData="1">
    <dbPr connection="Provider=Microsoft.Mashup.OleDb.1;Data Source=$Workbook$;Location=coef1_by_am_month_2023;Extended Properties=&quot;&quot;" command="SELECT * FROM [coef1_by_am_month_2023]"/>
  </connection>
  <connection id="2" xr16:uid="{B7D4D6CA-6961-4FCD-9872-93D4FB2796AF}" keepAlive="1" name="Запрос — coef1_by_am_year_2023" description="Соединение с запросом &quot;coef1_by_am_year_2023&quot; в книге." type="5" refreshedVersion="6" background="1" saveData="1">
    <dbPr connection="Provider=Microsoft.Mashup.OleDb.1;Data Source=$Workbook$;Location=coef1_by_am_year_2023;Extended Properties=&quot;&quot;" command="SELECT * FROM [coef1_by_am_year_2023]"/>
  </connection>
  <connection id="3" xr16:uid="{36621673-C1BA-4339-8203-9DE07E6DBDBB}" keepAlive="1" name="Запрос — coef1_dept_month_2023" description="Соединение с запросом &quot;coef1_dept_month_2023&quot; в книге." type="5" refreshedVersion="6" background="1" saveData="1">
    <dbPr connection="Provider=Microsoft.Mashup.OleDb.1;Data Source=$Workbook$;Location=coef1_dept_month_2023;Extended Properties=&quot;&quot;" command="SELECT * FROM [coef1_dept_month_2023]"/>
  </connection>
  <connection id="4" xr16:uid="{C1C0C90F-09DD-4D9E-9879-B3FE798CA60C}" keepAlive="1" name="Запрос — coef1_dept_year_2023" description="Соединение с запросом &quot;coef1_dept_year_2023&quot; в книге." type="5" refreshedVersion="6" background="1" saveData="1">
    <dbPr connection="Provider=Microsoft.Mashup.OleDb.1;Data Source=$Workbook$;Location=coef1_dept_year_2023;Extended Properties=&quot;&quot;" command="SELECT * FROM [coef1_dept_year_2023]"/>
  </connection>
  <connection id="5" xr16:uid="{E61A6825-86AC-4F19-B63F-02BAFAFAB1FD}" keepAlive="1" name="Запрос — coef1_dept_year_2023 (2)" description="Соединение с запросом &quot;coef1_dept_year_2023 (2)&quot; в книге." type="5" refreshedVersion="6" background="1" saveData="1">
    <dbPr connection="Provider=Microsoft.Mashup.OleDb.1;Data Source=$Workbook$;Location=coef1_dept_year_2023 (2);Extended Properties=&quot;&quot;" command="SELECT * FROM [coef1_dept_year_2023 (2)]"/>
  </connection>
  <connection id="6" xr16:uid="{E7DD4BA6-4F81-4D29-81FF-242BE7CC8C19}" keepAlive="1" name="Запрос — coef2_by_am_month_2023" description="Соединение с запросом &quot;coef2_by_am_month_2023&quot; в книге." type="5" refreshedVersion="6" background="1" saveData="1">
    <dbPr connection="Provider=Microsoft.Mashup.OleDb.1;Data Source=$Workbook$;Location=coef2_by_am_month_2023;Extended Properties=&quot;&quot;" command="SELECT * FROM [coef2_by_am_month_2023]"/>
  </connection>
  <connection id="7" xr16:uid="{5945F90C-2465-4BDD-BC12-704E59BADAF9}" keepAlive="1" name="Запрос — coef2_by_am_year_2023" description="Соединение с запросом &quot;coef2_by_am_year_2023&quot; в книге." type="5" refreshedVersion="6" background="1" saveData="1">
    <dbPr connection="Provider=Microsoft.Mashup.OleDb.1;Data Source=$Workbook$;Location=coef2_by_am_year_2023;Extended Properties=&quot;&quot;" command="SELECT * FROM [coef2_by_am_year_2023]"/>
  </connection>
  <connection id="8" xr16:uid="{0EAFD579-5B33-40B6-B808-9F8B3EA8BF19}" keepAlive="1" name="Запрос — coef2_dept_month_2023" description="Соединение с запросом &quot;coef2_dept_month_2023&quot; в книге." type="5" refreshedVersion="6" background="1" saveData="1">
    <dbPr connection="Provider=Microsoft.Mashup.OleDb.1;Data Source=$Workbook$;Location=coef2_dept_month_2023;Extended Properties=&quot;&quot;" command="SELECT * FROM [coef2_dept_month_2023]"/>
  </connection>
  <connection id="9" xr16:uid="{BBFCCAD8-CB02-475E-ACF9-4D4FEFACBA3F}" keepAlive="1" name="Запрос — coef2_dept_year_2023" description="Соединение с запросом &quot;coef2_dept_year_2023&quot; в книге." type="5" refreshedVersion="6" background="1" saveData="1">
    <dbPr connection="Provider=Microsoft.Mashup.OleDb.1;Data Source=$Workbook$;Location=coef2_dept_year_2023;Extended Properties=&quot;&quot;" command="SELECT * FROM [coef2_dept_year_2023]"/>
  </connection>
</connections>
</file>

<file path=xl/sharedStrings.xml><?xml version="1.0" encoding="utf-8"?>
<sst xmlns="http://schemas.openxmlformats.org/spreadsheetml/2006/main" count="314" uniqueCount="56">
  <si>
    <t>month</t>
  </si>
  <si>
    <t>AM</t>
  </si>
  <si>
    <t>num</t>
  </si>
  <si>
    <t>den</t>
  </si>
  <si>
    <t>coef1</t>
  </si>
  <si>
    <t>2023-01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</si>
  <si>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</si>
  <si>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</si>
  <si>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</si>
  <si>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</si>
  <si>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Попова Екатерина Николаевна</t>
  </si>
  <si>
    <t>Смирнова Ольга Владимировна</t>
  </si>
  <si>
    <t>Соколова Анастасия Викторовна</t>
  </si>
  <si>
    <t>2023-02</t>
  </si>
  <si>
    <t>2023-03</t>
  </si>
  <si>
    <t>2023-04</t>
  </si>
  <si>
    <t>2023-05</t>
  </si>
  <si>
    <t>2023-06</t>
  </si>
  <si>
    <t>Федорова Марина Васильевна</t>
  </si>
  <si>
    <t>2023-07</t>
  </si>
  <si>
    <t>2023-08</t>
  </si>
  <si>
    <t>2023-09</t>
  </si>
  <si>
    <t>2023-10</t>
  </si>
  <si>
    <t>2023-11</t>
  </si>
  <si>
    <t>2023-12</t>
  </si>
  <si>
    <t>без А/М</t>
  </si>
  <si>
    <t>Петрова Анна Дмитриевна</t>
  </si>
  <si>
    <t>year</t>
  </si>
  <si>
    <t>num_year</t>
  </si>
  <si>
    <t>den_year</t>
  </si>
  <si>
    <t>coef1_year</t>
  </si>
  <si>
    <t>Отдел</t>
  </si>
  <si>
    <t>num2</t>
  </si>
  <si>
    <t>den2</t>
  </si>
  <si>
    <t>coef2</t>
  </si>
  <si>
    <t>num2_year</t>
  </si>
  <si>
    <t>den2_year</t>
  </si>
  <si>
    <t>coef2_year</t>
  </si>
  <si>
    <t>Отчёт по пролонгациям - 2023</t>
  </si>
  <si>
    <t>Месяц (1-12):</t>
  </si>
  <si>
    <t>Коэф.1 (месяц)</t>
  </si>
  <si>
    <t>Коэф.2 (месяц)</t>
  </si>
  <si>
    <t>Коэф.1 (год)</t>
  </si>
  <si>
    <t>Коэф.2 (год)</t>
  </si>
  <si>
    <t>Аккаунт-менеджер:</t>
  </si>
  <si>
    <t>Коэф.1 АМ (месяц)</t>
  </si>
  <si>
    <t>Коэф.2 АМ (месяц)</t>
  </si>
  <si>
    <t>Коэф.1 АМ (год)</t>
  </si>
  <si>
    <t>Коэф.2 АМ (год)</t>
  </si>
  <si>
    <t>Месяц</t>
  </si>
  <si>
    <t>Коэф.1 отдел</t>
  </si>
  <si>
    <t>Коэф.2 отдел</t>
  </si>
  <si>
    <t>Коэф.1 АМ</t>
  </si>
  <si>
    <t>Коэф.2 АМ</t>
  </si>
  <si>
    <t>АМ</t>
  </si>
  <si>
    <t>Таблица Месяцы -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</si>
</sst>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;@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24"/>
      <color theme="3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2" fillId="2" borderId="3" xfId="0" applyFont="1" applyFill="1" applyBorder="1"/>
    <xf numFmtId="0" fontId="3" fillId="0" borderId="1" xfId="1" applyFont="1"/>
    <xf numFmtId="0" fontId="0" fillId="3" borderId="4" xfId="0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3" borderId="2" xfId="0" applyFill="1" applyBorder="1"/>
    <xf numFmtId="0" fontId="2" fillId="2" borderId="2" xfId="0" applyFont="1" applyFill="1" applyBorder="1" applyAlignment="1">
      <alignment horizontal="center"/>
    </xf>
    <xf numFmtId="166" fontId="2" fillId="2" borderId="13" xfId="0" applyNumberFormat="1" applyFont="1" applyFill="1" applyBorder="1" applyAlignment="1">
      <alignment horizontal="center"/>
    </xf>
    <xf numFmtId="166" fontId="2" fillId="2" borderId="14" xfId="0" applyNumberFormat="1" applyFont="1" applyFill="1" applyBorder="1" applyAlignment="1">
      <alignment horizontal="center"/>
    </xf>
    <xf numFmtId="166" fontId="2" fillId="2" borderId="15" xfId="0" applyNumberFormat="1" applyFont="1" applyFill="1" applyBorder="1" applyAlignment="1">
      <alignment horizontal="center"/>
    </xf>
  </cellXfs>
  <cellStyles count="2">
    <cellStyle name="Заголовок 1" xfId="1" builtinId="16"/>
    <cellStyle name="Обычный" xfId="0" builtinId="0"/>
  </cellStyles>
  <dxfs count="12"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0" formatCode="General"/>
    </dxf>
    <dxf>
      <numFmt numFmtId="16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График Коэф.1 (Отдел </a:t>
            </a:r>
            <a:r>
              <a:rPr lang="en-US" sz="1400" b="0" i="0" u="none" strike="noStrike" baseline="0"/>
              <a:t>vs </a:t>
            </a:r>
            <a:r>
              <a:rPr lang="ru-RU" sz="1400" b="0" i="0" u="none" strike="noStrike" baseline="0"/>
              <a:t>АМ)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Dashboard!$C$15</c:f>
              <c:strCache>
                <c:ptCount val="1"/>
                <c:pt idx="0">
                  <c:v>Коэф.1 отдел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Dashboard!$C$16:$C$27</c:f>
              <c:numCache>
                <c:formatCode>0.0%</c:formatCode>
                <c:ptCount val="12"/>
                <c:pt idx="0">
                  <c:v>0.73048999999999997</c:v>
                </c:pt>
                <c:pt idx="1">
                  <c:v>0.95759700000000003</c:v>
                </c:pt>
                <c:pt idx="2">
                  <c:v>0.91364500000000004</c:v>
                </c:pt>
                <c:pt idx="3">
                  <c:v>0.86742300000000006</c:v>
                </c:pt>
                <c:pt idx="4">
                  <c:v>0.84207100000000001</c:v>
                </c:pt>
                <c:pt idx="5">
                  <c:v>0.93025100000000005</c:v>
                </c:pt>
                <c:pt idx="6">
                  <c:v>0.88855300000000004</c:v>
                </c:pt>
                <c:pt idx="7">
                  <c:v>0.90429499999999996</c:v>
                </c:pt>
                <c:pt idx="8">
                  <c:v>0.84608799999999995</c:v>
                </c:pt>
                <c:pt idx="9">
                  <c:v>0.96105300000000005</c:v>
                </c:pt>
                <c:pt idx="10">
                  <c:v>0.834005</c:v>
                </c:pt>
                <c:pt idx="11">
                  <c:v>0.95976700000000004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D-4482-A5E3-BA3D85CA5A7A}"/>
            </c:ext>
          </c:extLst>
        </c:ser>
        <c:ser>
          <c:idx val="2"/>
          <c:order val="2"/>
          <c:tx>
            <c:strRef>
              <c:f>Dashboard!$E$15</c:f>
              <c:strCache>
                <c:ptCount val="1"/>
                <c:pt idx="0">
                  <c:v>Коэф.1 АМ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Dashboard!$E$16:$E$27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D-4482-A5E3-BA3D85CA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353599"/>
        <c:axId val="11786465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Dashboard!$B$15</c15:sqref>
                        </c15:formulaRef>
                      </c:ext>
                    </c:extLst>
                    <c:strCache>
                      <c:ptCount val="1"/>
                      <c:pt idx="0">
                        <c:v>Месяц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Dashboard!$B$16:$B$27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24D-4482-A5E3-BA3D85CA5A7A}"/>
                  </c:ext>
                </c:extLst>
              </c15:ser>
            </c15:filteredLineSeries>
          </c:ext>
        </c:extLst>
      </c:lineChart>
      <c:catAx>
        <c:axId val="11723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646559"/>
        <c:crosses val="autoZero"/>
        <c:auto val="1"/>
        <c:lblAlgn val="ctr"/>
        <c:lblOffset val="100"/>
        <c:noMultiLvlLbl val="0"/>
      </c:catAx>
      <c:valAx>
        <c:axId val="1178646559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23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График Коэф.2 (Отдел </a:t>
            </a:r>
            <a:r>
              <a:rPr lang="en-US" sz="1400" b="0" i="0" u="none" strike="noStrike" baseline="0"/>
              <a:t>vs </a:t>
            </a:r>
            <a:r>
              <a:rPr lang="ru-RU" sz="1400" b="0" i="0" u="none" strike="noStrike" baseline="0"/>
              <a:t>АМ)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Dashboard!$D$15</c:f>
              <c:strCache>
                <c:ptCount val="1"/>
                <c:pt idx="0">
                  <c:v>Коэф.2 отдел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Dashboard!$B$16:$B$27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Dashboard!$D$16:$D$27</c:f>
              <c:numCache>
                <c:formatCode>0.0%</c:formatCode>
                <c:ptCount val="12"/>
                <c:pt idx="0">
                  <c:v>0.54033399999999998</c:v>
                </c:pt>
                <c:pt idx="1">
                  <c:v>0.25210300000000002</c:v>
                </c:pt>
                <c:pt idx="2">
                  <c:v>0.286526</c:v>
                </c:pt>
                <c:pt idx="3">
                  <c:v>0.26890900000000001</c:v>
                </c:pt>
                <c:pt idx="4">
                  <c:v>0</c:v>
                </c:pt>
                <c:pt idx="5">
                  <c:v>0.196019</c:v>
                </c:pt>
                <c:pt idx="6">
                  <c:v>0.41179300000000002</c:v>
                </c:pt>
                <c:pt idx="7">
                  <c:v>0.67443600000000004</c:v>
                </c:pt>
                <c:pt idx="8">
                  <c:v>0</c:v>
                </c:pt>
                <c:pt idx="9">
                  <c:v>0.239649</c:v>
                </c:pt>
                <c:pt idx="10">
                  <c:v>0.26211800000000002</c:v>
                </c:pt>
                <c:pt idx="11">
                  <c:v>0.129886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0-436F-B171-30517A2A66D6}"/>
            </c:ext>
          </c:extLst>
        </c:ser>
        <c:ser>
          <c:idx val="1"/>
          <c:order val="1"/>
          <c:tx>
            <c:strRef>
              <c:f>Dashboard!$F$15</c:f>
              <c:strCache>
                <c:ptCount val="1"/>
                <c:pt idx="0">
                  <c:v>Коэф.2 АМ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Dashboard!$B$16:$B$27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Dashboard!$F$16:$F$27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0-436F-B171-30517A2A6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32335"/>
        <c:axId val="1348109151"/>
      </c:lineChart>
      <c:catAx>
        <c:axId val="2636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109151"/>
        <c:crosses val="autoZero"/>
        <c:auto val="1"/>
        <c:lblAlgn val="ctr"/>
        <c:lblOffset val="100"/>
        <c:noMultiLvlLbl val="0"/>
      </c:catAx>
      <c:valAx>
        <c:axId val="1348109151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363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1700032</xdr:colOff>
      <xdr:row>27</xdr:row>
      <xdr:rowOff>152098</xdr:rowOff>
    </xdr:from>
    <xdr:to>
      <xdr:col>4</xdr:col>
      <xdr:colOff>160720</xdr:colOff>
      <xdr:row>42</xdr:row>
      <xdr:rowOff>37798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1268A98-AB68-4AF0-A72E-4E233476F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27</xdr:row>
      <xdr:rowOff>176212</xdr:rowOff>
    </xdr:from>
    <xdr:to>
      <xdr:col>9</xdr:col>
      <xdr:colOff>190500</xdr:colOff>
      <xdr:row>42</xdr:row>
      <xdr:rowOff>61912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ED104D6-9460-492C-A868-07B609055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5D8BCF-8EAD-4977-BC07-FD9E9220F38B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AM" tableColumnId="2"/>
      <queryTableField id="3" name="num" tableColumnId="3"/>
      <queryTableField id="4" name="den" tableColumnId="4"/>
      <queryTableField id="5" name="coef1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A93710-2D48-432B-A134-540FA8DA5139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AM" tableColumnId="2"/>
      <queryTableField id="3" name="num_year" tableColumnId="3"/>
      <queryTableField id="4" name="den_year" tableColumnId="4"/>
      <queryTableField id="5" name="coef1_yea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C94993-5EA1-45CC-AFF7-FCEA2DD63CFE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AM" tableColumnId="2"/>
      <queryTableField id="3" name="num" tableColumnId="3"/>
      <queryTableField id="4" name="den" tableColumnId="4"/>
      <queryTableField id="5" name="coef1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EA2800-C2AB-463D-BE7C-67714679C79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AM" tableColumnId="2"/>
      <queryTableField id="3" name="num_year" tableColumnId="3"/>
      <queryTableField id="4" name="den_year" tableColumnId="4"/>
      <queryTableField id="5" name="coef1_yea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B815287-A16C-4189-AAD5-FACC83D5B1C6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AM" tableColumnId="2"/>
      <queryTableField id="3" name="num2" tableColumnId="3"/>
      <queryTableField id="4" name="den2" tableColumnId="4"/>
      <queryTableField id="5" name="coef2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C432F67-4BB9-49A3-9E15-2E3C9ABA3821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AM" tableColumnId="2"/>
      <queryTableField id="3" name="num2_year" tableColumnId="3"/>
      <queryTableField id="4" name="den2_year" tableColumnId="4"/>
      <queryTableField id="5" name="coef2_year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BD73E84-896E-4113-BBFC-61451720A2D1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AM" tableColumnId="2"/>
      <queryTableField id="3" name="num2" tableColumnId="3"/>
      <queryTableField id="4" name="den2" tableColumnId="4"/>
      <queryTableField id="5" name="coef2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E7628EF-5717-410E-9B50-C7B1C91E7806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AM" tableColumnId="2"/>
      <queryTableField id="3" name="num2_year" tableColumnId="3"/>
      <queryTableField id="4" name="den2_year" tableColumnId="4"/>
      <queryTableField id="5" name="coef2_yea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55F24-1A46-408D-8C1F-FDE42E56EFC8}" name="coef1_by_am_month_2023" displayName="coef1_by_am_month_2023" ref="A1:E94" tableType="queryTable" totalsRowShown="0">
  <autoFilter ref="A1:E94" xr:uid="{E8BEF5DD-D29E-4857-BB9A-3EF4E8282005}"/>
  <sortState xmlns:xlrd2="http://schemas.microsoft.com/office/spreadsheetml/2017/richdata2" ref="A2:E94">
    <sortCondition ref="A1:A94"/>
  </sortState>
  <tableColumns count="5">
    <tableColumn id="1" xr3:uid="{DA145745-A79B-44C4-ADF5-2722E849BFC8}" uniqueName="1" name="month" queryTableFieldId="1" dataDxfId="11"/>
    <tableColumn id="2" xr3:uid="{34E6DFCF-5C44-474B-AC06-59E9221FC5E1}" uniqueName="2" name="AM" queryTableFieldId="2" dataDxfId="10"/>
    <tableColumn id="3" xr3:uid="{28E46135-2F3B-4863-8BAE-8DDEC7261580}" uniqueName="3" name="num" queryTableFieldId="3"/>
    <tableColumn id="4" xr3:uid="{28D7425E-9E90-4FA8-9B02-9763CCE1A32E}" uniqueName="4" name="den" queryTableFieldId="4"/>
    <tableColumn id="5" xr3:uid="{8C20384F-8953-4FA8-B4A4-BF7173BA292D}" uniqueName="5" name="coef1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ACED9-B488-4BB8-9C03-65684FC0F767}" name="coef1_by_am_year_2023" displayName="coef1_by_am_year_2023" ref="A1:E11" tableType="queryTable" totalsRowShown="0">
  <autoFilter ref="A1:E11" xr:uid="{E4A88BAF-7C46-445D-8B43-B1362B4F2791}"/>
  <tableColumns count="5">
    <tableColumn id="1" xr3:uid="{C8A28374-AEB6-4DAB-8A0A-3A4649FCA07E}" uniqueName="1" name="year" queryTableFieldId="1"/>
    <tableColumn id="2" xr3:uid="{B5B30D59-2CE2-4FA2-A76E-48DAE475283C}" uniqueName="2" name="AM" queryTableFieldId="2" dataDxfId="9"/>
    <tableColumn id="3" xr3:uid="{A1152401-3EC2-4362-8401-F38D9EBCF6BB}" uniqueName="3" name="num_year" queryTableFieldId="3"/>
    <tableColumn id="4" xr3:uid="{EB3D7C3A-E608-45D3-9719-E095E5444E9E}" uniqueName="4" name="den_year" queryTableFieldId="4"/>
    <tableColumn id="5" xr3:uid="{0DAECEDC-61F8-4740-8C2E-1C6A8441ACBE}" uniqueName="5" name="coef1_yea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E4B54-42B6-4C64-B183-0010D69E820F}" name="coef1_dept_month_2023" displayName="coef1_dept_month_2023" ref="A1:E13" tableType="queryTable" totalsRowShown="0">
  <autoFilter ref="A1:E13" xr:uid="{2E88C3CE-CB33-454B-8541-7E1ED5637AEE}"/>
  <tableColumns count="5">
    <tableColumn id="1" xr3:uid="{E40CBEB6-E68B-4CC6-9F0A-632011B71E1C}" uniqueName="1" name="month" queryTableFieldId="1" dataDxfId="8"/>
    <tableColumn id="2" xr3:uid="{A170E5DE-8108-491B-A1FE-D63D405F2B43}" uniqueName="2" name="AM" queryTableFieldId="2" dataDxfId="7"/>
    <tableColumn id="3" xr3:uid="{0D57F982-58C7-4DFD-AF99-444636F5326C}" uniqueName="3" name="num" queryTableFieldId="3"/>
    <tableColumn id="4" xr3:uid="{61ABB894-8079-4856-B3A4-78A656D6BEA5}" uniqueName="4" name="den" queryTableFieldId="4"/>
    <tableColumn id="5" xr3:uid="{B265AC1B-B25F-4D87-829B-30D63FE16DB0}" uniqueName="5" name="coef1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F3CDB-36C9-4185-8339-6AA43B380AC8}" name="coef1_dept_year_2023" displayName="coef1_dept_year_2023" ref="A1:E2" tableType="queryTable" totalsRowShown="0">
  <autoFilter ref="A1:E2" xr:uid="{CC9F6864-ED43-485E-B4A1-74CD08A91A5D}"/>
  <tableColumns count="5">
    <tableColumn id="1" xr3:uid="{CE2A36AE-5641-4C40-9FF9-14E4FD500BC3}" uniqueName="1" name="year" queryTableFieldId="1"/>
    <tableColumn id="2" xr3:uid="{91097815-BDF5-4711-9DA3-6E8AC08F75F5}" uniqueName="2" name="AM" queryTableFieldId="2" dataDxfId="6"/>
    <tableColumn id="3" xr3:uid="{B8161508-DFF9-4296-9927-D6D419E69F9A}" uniqueName="3" name="num_year" queryTableFieldId="3"/>
    <tableColumn id="4" xr3:uid="{EC66970E-0BAB-42B8-A75B-CD862E03C631}" uniqueName="4" name="den_year" queryTableFieldId="4"/>
    <tableColumn id="5" xr3:uid="{D1590B2F-0051-4D28-97D1-F692C0A795A0}" uniqueName="5" name="coef1_year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404B5-038D-4E81-8A37-5468E04A300F}" name="coef2_by_am_month_2023" displayName="coef2_by_am_month_2023" ref="A1:E28" tableType="queryTable" totalsRowShown="0">
  <autoFilter ref="A1:E28" xr:uid="{81A3196B-EAA3-453A-93A8-AAB5C8E33FE2}"/>
  <tableColumns count="5">
    <tableColumn id="1" xr3:uid="{03FEAC48-C6A5-4DB0-B5E5-A06E30F771F1}" uniqueName="1" name="month" queryTableFieldId="1" dataDxfId="5"/>
    <tableColumn id="2" xr3:uid="{CFC4ACCB-BA84-42A0-A0A0-67501F6E4DA3}" uniqueName="2" name="AM" queryTableFieldId="2" dataDxfId="4"/>
    <tableColumn id="3" xr3:uid="{FC3C053D-CDD1-486C-808D-4AC7AD7A6A70}" uniqueName="3" name="num2" queryTableFieldId="3"/>
    <tableColumn id="4" xr3:uid="{A3482753-A178-4470-9B08-55D97DEFCEAD}" uniqueName="4" name="den2" queryTableFieldId="4"/>
    <tableColumn id="5" xr3:uid="{3BF7099C-F8B5-408D-BE03-7A8696C2E195}" uniqueName="5" name="coef2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4F242E-7CB8-4697-9EE2-BB846F594EA7}" name="coef2_by_am_year_2023" displayName="coef2_by_am_year_2023" ref="A1:E8" tableType="queryTable" totalsRowShown="0">
  <autoFilter ref="A1:E8" xr:uid="{8565C6D8-AB96-4D44-8BFE-273BAB88D375}"/>
  <tableColumns count="5">
    <tableColumn id="1" xr3:uid="{3D2615CE-45A9-4932-9C5E-C249D4929F0C}" uniqueName="1" name="year" queryTableFieldId="1"/>
    <tableColumn id="2" xr3:uid="{206CCC6B-FDFF-4223-B45A-44F6490B8876}" uniqueName="2" name="AM" queryTableFieldId="2" dataDxfId="3"/>
    <tableColumn id="3" xr3:uid="{16066A7F-6C0F-452A-BF80-998C9D2ABF9A}" uniqueName="3" name="num2_year" queryTableFieldId="3"/>
    <tableColumn id="4" xr3:uid="{9FE8E8EA-833A-48B4-9ABE-37C505DAF857}" uniqueName="4" name="den2_year" queryTableFieldId="4"/>
    <tableColumn id="5" xr3:uid="{5584155D-4787-4ECF-908F-AF8FC5398AA4}" uniqueName="5" name="coef2_year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271254-55A0-4227-AC46-D7440A737545}" name="coef2_dept_month_2023" displayName="coef2_dept_month_2023" ref="A1:E11" tableType="queryTable" totalsRowShown="0">
  <autoFilter ref="A1:E11" xr:uid="{19777E71-8C11-4720-ABF9-2B98F4B3AAF6}"/>
  <tableColumns count="5">
    <tableColumn id="1" xr3:uid="{0E6B6978-9F69-4370-B9EC-205AB179AEC9}" uniqueName="1" name="month" queryTableFieldId="1" dataDxfId="2"/>
    <tableColumn id="2" xr3:uid="{49FC1200-6378-4893-B38A-8D82FC9478DB}" uniqueName="2" name="AM" queryTableFieldId="2" dataDxfId="1"/>
    <tableColumn id="3" xr3:uid="{4770BDD6-F422-476A-AF24-1B193F301D39}" uniqueName="3" name="num2" queryTableFieldId="3"/>
    <tableColumn id="4" xr3:uid="{F876167F-14FA-4FD7-B04E-6BE7A5C42E9B}" uniqueName="4" name="den2" queryTableFieldId="4"/>
    <tableColumn id="5" xr3:uid="{4D48B090-739C-4B57-BAA0-6E02E5EA4F11}" uniqueName="5" name="coef2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E4EF5A-2ECB-4A27-BFB4-71FFB98D39DF}" name="coef2_dept_year_2023" displayName="coef2_dept_year_2023" ref="A1:E2" tableType="queryTable" totalsRowShown="0">
  <autoFilter ref="A1:E2" xr:uid="{44E222EC-43AD-4C1F-88E1-C5DFF70541B3}"/>
  <tableColumns count="5">
    <tableColumn id="1" xr3:uid="{EBE0B586-8DD0-45E0-8255-54D23B6DDA6E}" uniqueName="1" name="year" queryTableFieldId="1"/>
    <tableColumn id="2" xr3:uid="{1D7A8C04-FB96-40D1-9613-6EF9AD8CC155}" uniqueName="2" name="AM" queryTableFieldId="2" dataDxfId="0"/>
    <tableColumn id="3" xr3:uid="{0A512606-5AE3-4106-80FA-F3A9CD9FEFD5}" uniqueName="3" name="num2_year" queryTableFieldId="3"/>
    <tableColumn id="4" xr3:uid="{D351B87D-35C2-4088-AC7C-A3C667589349}" uniqueName="4" name="den2_year" queryTableFieldId="4"/>
    <tableColumn id="5" xr3:uid="{4788F545-4A97-4166-BE22-B3222D61523B}" uniqueName="5" name="coef2_ye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89" zoomScaleNormal="10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42" customWidth="1"/>
    <col min="2" max="2" width="12.7109375" customWidth="1"/>
    <col min="3" max="3" width="18.7109375" customWidth="1"/>
    <col min="4" max="4" width="21.5703125" customWidth="1"/>
    <col min="5" max="5" width="15.85546875" customWidth="1"/>
    <col min="6" max="6" width="14.85546875" customWidth="1"/>
    <col min="7" max="7" width="21.140625" customWidth="1"/>
    <col min="10" max="10" width="31.140625" bestFit="1" customWidth="1"/>
    <col min="11" max="13" width="22.140625" bestFit="1" customWidth="1"/>
    <col min="14" max="14" width="20.140625" bestFit="1" customWidth="1"/>
    <col min="15" max="15" width="19.5703125" bestFit="1" customWidth="1"/>
    <col min="16" max="16" width="27.28515625" bestFit="1" customWidth="1"/>
    <col min="17" max="17" width="20.140625" bestFit="1" customWidth="1"/>
    <col min="18" max="18" width="19.5703125" bestFit="1" customWidth="1"/>
    <col min="19" max="19" width="27.28515625" bestFit="1" customWidth="1"/>
    <col min="20" max="20" width="20.140625" bestFit="1" customWidth="1"/>
    <col min="21" max="21" width="19.5703125" bestFit="1" customWidth="1"/>
    <col min="22" max="22" width="27.28515625" bestFit="1" customWidth="1"/>
    <col min="23" max="23" width="20.140625" bestFit="1" customWidth="1"/>
    <col min="24" max="24" width="19.5703125" bestFit="1" customWidth="1"/>
    <col min="25" max="25" width="27.28515625" bestFit="1" customWidth="1"/>
    <col min="26" max="26" width="20.140625" bestFit="1" customWidth="1"/>
    <col min="27" max="27" width="19.5703125" bestFit="1" customWidth="1"/>
    <col min="28" max="28" width="27.28515625" bestFit="1" customWidth="1"/>
    <col min="29" max="29" width="20.140625" bestFit="1" customWidth="1"/>
    <col min="30" max="30" width="19.5703125" bestFit="1" customWidth="1"/>
    <col min="31" max="31" width="27.28515625" bestFit="1" customWidth="1"/>
    <col min="32" max="32" width="20.140625" bestFit="1" customWidth="1"/>
    <col min="33" max="33" width="19.5703125" bestFit="1" customWidth="1"/>
    <col min="34" max="34" width="27.28515625" bestFit="1" customWidth="1"/>
    <col min="35" max="35" width="20.140625" bestFit="1" customWidth="1"/>
    <col min="36" max="36" width="19.5703125" bestFit="1" customWidth="1"/>
    <col min="37" max="37" width="27.28515625" bestFit="1" customWidth="1"/>
    <col min="38" max="38" width="20.140625" bestFit="1" customWidth="1"/>
    <col min="39" max="39" width="19.5703125" bestFit="1" customWidth="1"/>
    <col min="40" max="40" width="27.28515625" bestFit="1" customWidth="1"/>
    <col min="41" max="41" width="20.140625" bestFit="1" customWidth="1"/>
    <col min="42" max="42" width="19.5703125" bestFit="1" customWidth="1"/>
    <col min="43" max="43" width="27.28515625" bestFit="1" customWidth="1"/>
    <col min="44" max="44" width="20.140625" bestFit="1" customWidth="1"/>
    <col min="45" max="45" width="19.5703125" bestFit="1" customWidth="1"/>
    <col min="46" max="46" width="27.28515625" bestFit="1" customWidth="1"/>
    <col min="47" max="47" width="24.85546875" bestFit="1" customWidth="1"/>
    <col min="48" max="48" width="24.28515625" bestFit="1" customWidth="1"/>
    <col min="49" max="49" width="32.140625" bestFit="1" customWidth="1"/>
  </cols>
  <sheetData>
    <row r="1" spans="1:6" ht="32.25" thickBot="1" x14ac:dyDescent="0.55000000000000004">
      <c r="A1" s="14" t="s">
        <v>38</v>
      </c>
    </row>
    <row r="2" spans="1:6" ht="24" thickTop="1" x14ac:dyDescent="0.35">
      <c r="A2" s="13" t="s">
        <v>39</v>
      </c>
      <c r="C2" s="20" t="s">
        <v>31</v>
      </c>
      <c r="D2" s="20"/>
    </row>
    <row r="3" spans="1:6" x14ac:dyDescent="0.25">
      <c r="A3" s="12">
        <v>1</v>
      </c>
      <c r="C3" s="4" t="s">
        <v>40</v>
      </c>
      <c r="D3" s="4" t="s">
        <v>41</v>
      </c>
      <c r="E3" s="19" t="str">
        <f>TEXT(DATE(2023,$A$3,1),"ММММ")</f>
        <v>Январь</v>
      </c>
    </row>
    <row r="4" spans="1:6" ht="23.25" x14ac:dyDescent="0.35">
      <c r="A4" s="13" t="s">
        <v>44</v>
      </c>
      <c r="C4" s="7">
        <f>IF(COUNTIF('coef1_dept_month_2023'!$A:$A,DATE(2023,$A$3,1))=0,"— нет данных",
 VLOOKUP(DATE(2023,$A$3,1),'coef1_dept_month_2023'!$A:$E,5,FALSE))</f>
        <v>0.73048999999999997</v>
      </c>
      <c r="D4" s="7">
        <f>IF(COUNTIF('coef2_dept_month_2023'!$A:$A,DATE(2023,$A$3,1))=0,"— нет данных",
 VLOOKUP(DATE(2023,$A$3,1),'coef2_dept_month_2023'!$A:$E,5,FALSE))</f>
        <v>0.54033399999999998</v>
      </c>
    </row>
    <row r="5" spans="1:6" x14ac:dyDescent="0.25">
      <c r="A5" s="15" t="s">
        <v>25</v>
      </c>
      <c r="C5" s="4" t="s">
        <v>42</v>
      </c>
      <c r="D5" s="4" t="s">
        <v>43</v>
      </c>
    </row>
    <row r="6" spans="1:6" x14ac:dyDescent="0.25">
      <c r="C6" s="7">
        <f>IFERROR(VLOOKUP(2023, 'coef1_dept_year_2023'!$A:$E, 5, FALSE), "")</f>
        <v>0.88259600000000005</v>
      </c>
      <c r="D6" s="7">
        <f>IFERROR(VLOOKUP(2023, 'coef2_dept_year_2023'!$A:$E, 5, FALSE), "")</f>
        <v>0.26607500000000001</v>
      </c>
    </row>
    <row r="8" spans="1:6" ht="23.25" x14ac:dyDescent="0.35">
      <c r="C8" s="20" t="s">
        <v>54</v>
      </c>
      <c r="D8" s="20"/>
    </row>
    <row r="9" spans="1:6" x14ac:dyDescent="0.25">
      <c r="C9" s="4" t="s">
        <v>45</v>
      </c>
      <c r="D9" s="4" t="s">
        <v>46</v>
      </c>
      <c r="E9" s="19" t="str">
        <f>TEXT(DATE(2023,$A$3,1),"ММММ")</f>
        <v>Январь</v>
      </c>
    </row>
    <row r="10" spans="1:6" x14ac:dyDescent="0.25">
      <c r="C10" s="7" t="str">
        <f>IF($A$5="","— выбери АМ",
 IF(
   SUMIFS('coef1_by_am_month_2023'!$D:$D,'coef1_by_am_month_2023'!$A:$A,DATE(2023,$A$3,1),'coef1_by_am_month_2023'!$B:$B,$A$5)
 + SUMIFS('coef1_by_am_month_2023'!$D:$D,'coef1_by_am_month_2023'!$A:$A,"2023-"&amp;TEXT($A$3,"00"),'coef1_by_am_month_2023'!$B:$B,$A$5)
   =0,"— нет данных",
  (SUMIFS('coef1_by_am_month_2023'!$C:$C,'coef1_by_am_month_2023'!$A:$A,DATE(2023,$A$3,1),'coef1_by_am_month_2023'!$B:$B,$A$5)
  + SUMIFS('coef1_by_am_month_2023'!$C:$C,'coef1_by_am_month_2023'!$A:$A,"2023-"&amp;TEXT($A$3,"00"),'coef1_by_am_month_2023'!$B:$B,$A$5))
 /
  (SUMIFS('coef1_by_am_month_2023'!$D:$D,'coef1_by_am_month_2023'!$A:$A,DATE(2023,$A$3,1),'coef1_by_am_month_2023'!$B:$B,$A$5)
  + SUMIFS('coef1_by_am_month_2023'!$D:$D,'coef1_by_am_month_2023'!$A:$A,"2023-"&amp;TEXT($A$3,"00"),'coef1_by_am_month_2023'!$B:$B,$A$5))
 )
)</f>
        <v>— нет данных</v>
      </c>
      <c r="D10" s="7" t="str">
        <f>IF($A$5="","— выбери АМ",
 IF(SUMIFS('coef2_by_am_month_2023'!$D:$D, 'coef2_by_am_month_2023'!$A:$A, DATE(2023,$A$3,1), 'coef2_by_am_month_2023'!$B:$B, $A$5)=0,"— нет данных",
  SUMIFS('coef2_by_am_month_2023'!$C:$C, 'coef2_by_am_month_2023'!$A:$A, DATE(2023,$A$3,1), 'coef2_by_am_month_2023'!$B:$B, $A$5)
/ SUMIFS('coef2_by_am_month_2023'!$D:$D, 'coef2_by_am_month_2023'!$A:$A, DATE(2023,$A$3,1), 'coef2_by_am_month_2023'!$B:$B, $A$5)))</f>
        <v>— нет данных</v>
      </c>
    </row>
    <row r="11" spans="1:6" x14ac:dyDescent="0.25">
      <c r="C11" s="4" t="s">
        <v>47</v>
      </c>
      <c r="D11" s="4" t="s">
        <v>48</v>
      </c>
    </row>
    <row r="12" spans="1:6" x14ac:dyDescent="0.25">
      <c r="C12" s="7">
        <f>IF($A$5="","— выбери АМ", IFERROR(VLOOKUP($A$5, 'coef1_by_am_year_2023'!$B:$E, 4, FALSE), "— нет данных"))</f>
        <v>0</v>
      </c>
      <c r="D12" s="7" t="str">
        <f>IF($A$5="","— выбери АМ", IFERROR(VLOOKUP($A$5, 'coef2_by_am_year_2023'!$B:$E, 4, FALSE), "— нет данных"))</f>
        <v>— нет данных</v>
      </c>
    </row>
    <row r="14" spans="1:6" ht="23.25" x14ac:dyDescent="0.35">
      <c r="B14" s="21" t="s">
        <v>55</v>
      </c>
      <c r="C14" s="22"/>
      <c r="D14" s="22"/>
      <c r="E14" s="22"/>
      <c r="F14" s="23"/>
    </row>
    <row r="15" spans="1:6" ht="18.75" x14ac:dyDescent="0.3">
      <c r="B15" s="16" t="s">
        <v>49</v>
      </c>
      <c r="C15" s="17" t="s">
        <v>50</v>
      </c>
      <c r="D15" s="17" t="s">
        <v>51</v>
      </c>
      <c r="E15" s="17" t="s">
        <v>52</v>
      </c>
      <c r="F15" s="18" t="s">
        <v>53</v>
      </c>
    </row>
    <row r="16" spans="1:6" x14ac:dyDescent="0.25">
      <c r="B16" s="5">
        <v>1</v>
      </c>
      <c r="C16" s="8">
        <f>IFERROR(VLOOKUP(DATE(2023,B16,1),'coef1_dept_month_2023'!$A:$E,5,FALSE),"")</f>
        <v>0.73048999999999997</v>
      </c>
      <c r="D16" s="8">
        <f>IFERROR(VLOOKUP(DATE(2023,B16,1),'coef2_dept_month_2023'!$A:$E,5,FALSE),"")</f>
        <v>0.54033399999999998</v>
      </c>
      <c r="E16" s="8" t="str">
        <f>IF($A$5="","",IF(
 SUMIFS('coef1_by_am_month_2023'!$D:$D,'coef1_by_am_month_2023'!$A:$A,DATE(2023,B16,1),'coef1_by_am_month_2023'!$B:$B,$A$5)
+SUMIFS('coef1_by_am_month_2023'!$D:$D,'coef1_by_am_month_2023'!$A:$A,"2023-"&amp;TEXT(B16,"00"),'coef1_by_am_month_2023'!$B:$B,$A$5)
=0,"",
(SUMIFS('coef1_by_am_month_2023'!$C:$C,'coef1_by_am_month_2023'!$A:$A,DATE(2023,B16,1),'coef1_by_am_month_2023'!$B:$B,$A$5)
+SUMIFS('coef1_by_am_month_2023'!$C:$C,'coef1_by_am_month_2023'!$A:$A,"2023-"&amp;TEXT(B16,"00"),'coef1_by_am_month_2023'!$B:$B,$A$5))
/
(SUMIFS('coef1_by_am_month_2023'!$D:$D,'coef1_by_am_month_2023'!$A:$A,DATE(2023,B16,1),'coef1_by_am_month_2023'!$B:$B,$A$5)
+SUMIFS('coef1_by_am_month_2023'!$D:$D,'coef1_by_am_month_2023'!$A:$A,"2023-"&amp;TEXT(B16,"00"),'coef1_by_am_month_2023'!$B:$B,$A$5))
))</f>
        <v/>
      </c>
      <c r="F16" s="9" t="str">
        <f>IF($A$5="","",IF(
 SUMIFS('coef2_by_am_month_2023'!$D:$D,'coef2_by_am_month_2023'!$A:$A,DATE(2023,B16,1),'coef2_by_am_month_2023'!$B:$B,$A$5)
+SUMIFS('coef2_by_am_month_2023'!$D:$D,'coef2_by_am_month_2023'!$A:$A,"2023-"&amp;TEXT(B16,"00"),'coef2_by_am_month_2023'!$B:$B,$A$5)
=0,"",
(SUMIFS('coef2_by_am_month_2023'!$C:$C,'coef2_by_am_month_2023'!$A:$A,DATE(2023,B16,1),'coef2_by_am_month_2023'!$B:$B,$A$5)
+SUMIFS('coef2_by_am_month_2023'!$C:$C,'coef2_by_am_month_2023'!$A:$A,"2023-"&amp;TEXT(B16,"00"),'coef2_by_am_month_2023'!$B:$B,$A$5))
/
(SUMIFS('coef2_by_am_month_2023'!$D:$D,'coef2_by_am_month_2023'!$A:$A,DATE(2023,B16,1),'coef2_by_am_month_2023'!$B:$B,$A$5)
+SUMIFS('coef2_by_am_month_2023'!$D:$D,'coef2_by_am_month_2023'!$A:$A,"2023-"&amp;TEXT(B16,"00"),'coef2_by_am_month_2023'!$B:$B,$A$5))
))</f>
        <v/>
      </c>
    </row>
    <row r="17" spans="2:6" x14ac:dyDescent="0.25">
      <c r="B17" s="5">
        <v>2</v>
      </c>
      <c r="C17" s="8">
        <f>IFERROR(VLOOKUP(DATE(2023,B17,1),'coef1_dept_month_2023'!$A:$E,5,FALSE),"")</f>
        <v>0.95759700000000003</v>
      </c>
      <c r="D17" s="8">
        <f>IFERROR(VLOOKUP(DATE(2023,B17,1),'coef2_dept_month_2023'!$A:$E,5,FALSE),"")</f>
        <v>0.25210300000000002</v>
      </c>
      <c r="E17" s="8" t="str">
        <f>IF($A$5="","",IF(
 SUMIFS('coef1_by_am_month_2023'!$D:$D,'coef1_by_am_month_2023'!$A:$A,DATE(2023,B17,1),'coef1_by_am_month_2023'!$B:$B,$A$5)
+SUMIFS('coef1_by_am_month_2023'!$D:$D,'coef1_by_am_month_2023'!$A:$A,"2023-"&amp;TEXT(B17,"00"),'coef1_by_am_month_2023'!$B:$B,$A$5)
=0,"",
(SUMIFS('coef1_by_am_month_2023'!$C:$C,'coef1_by_am_month_2023'!$A:$A,DATE(2023,B17,1),'coef1_by_am_month_2023'!$B:$B,$A$5)
+SUMIFS('coef1_by_am_month_2023'!$C:$C,'coef1_by_am_month_2023'!$A:$A,"2023-"&amp;TEXT(B17,"00"),'coef1_by_am_month_2023'!$B:$B,$A$5))
/
(SUMIFS('coef1_by_am_month_2023'!$D:$D,'coef1_by_am_month_2023'!$A:$A,DATE(2023,B17,1),'coef1_by_am_month_2023'!$B:$B,$A$5)
+SUMIFS('coef1_by_am_month_2023'!$D:$D,'coef1_by_am_month_2023'!$A:$A,"2023-"&amp;TEXT(B17,"00"),'coef1_by_am_month_2023'!$B:$B,$A$5))
))</f>
        <v/>
      </c>
      <c r="F17" s="9" t="str">
        <f>IF($A$5="","",IF(
 SUMIFS('coef2_by_am_month_2023'!$D:$D,'coef2_by_am_month_2023'!$A:$A,DATE(2023,B17,1),'coef2_by_am_month_2023'!$B:$B,$A$5)
+SUMIFS('coef2_by_am_month_2023'!$D:$D,'coef2_by_am_month_2023'!$A:$A,"2023-"&amp;TEXT(B17,"00"),'coef2_by_am_month_2023'!$B:$B,$A$5)
=0,"",
(SUMIFS('coef2_by_am_month_2023'!$C:$C,'coef2_by_am_month_2023'!$A:$A,DATE(2023,B17,1),'coef2_by_am_month_2023'!$B:$B,$A$5)
+SUMIFS('coef2_by_am_month_2023'!$C:$C,'coef2_by_am_month_2023'!$A:$A,"2023-"&amp;TEXT(B17,"00"),'coef2_by_am_month_2023'!$B:$B,$A$5))
/
(SUMIFS('coef2_by_am_month_2023'!$D:$D,'coef2_by_am_month_2023'!$A:$A,DATE(2023,B17,1),'coef2_by_am_month_2023'!$B:$B,$A$5)
+SUMIFS('coef2_by_am_month_2023'!$D:$D,'coef2_by_am_month_2023'!$A:$A,"2023-"&amp;TEXT(B17,"00"),'coef2_by_am_month_2023'!$B:$B,$A$5))
))</f>
        <v/>
      </c>
    </row>
    <row r="18" spans="2:6" x14ac:dyDescent="0.25">
      <c r="B18" s="5">
        <v>3</v>
      </c>
      <c r="C18" s="8">
        <f>IFERROR(VLOOKUP(DATE(2023,B18,1),'coef1_dept_month_2023'!$A:$E,5,FALSE),"")</f>
        <v>0.91364500000000004</v>
      </c>
      <c r="D18" s="8">
        <f>IFERROR(VLOOKUP(DATE(2023,B18,1),'coef2_dept_month_2023'!$A:$E,5,FALSE),"")</f>
        <v>0.286526</v>
      </c>
      <c r="E18" s="8" t="str">
        <f>IF($A$5="","",IF(
 SUMIFS('coef1_by_am_month_2023'!$D:$D,'coef1_by_am_month_2023'!$A:$A,DATE(2023,B18,1),'coef1_by_am_month_2023'!$B:$B,$A$5)
+SUMIFS('coef1_by_am_month_2023'!$D:$D,'coef1_by_am_month_2023'!$A:$A,"2023-"&amp;TEXT(B18,"00"),'coef1_by_am_month_2023'!$B:$B,$A$5)
=0,"",
(SUMIFS('coef1_by_am_month_2023'!$C:$C,'coef1_by_am_month_2023'!$A:$A,DATE(2023,B18,1),'coef1_by_am_month_2023'!$B:$B,$A$5)
+SUMIFS('coef1_by_am_month_2023'!$C:$C,'coef1_by_am_month_2023'!$A:$A,"2023-"&amp;TEXT(B18,"00"),'coef1_by_am_month_2023'!$B:$B,$A$5))
/
(SUMIFS('coef1_by_am_month_2023'!$D:$D,'coef1_by_am_month_2023'!$A:$A,DATE(2023,B18,1),'coef1_by_am_month_2023'!$B:$B,$A$5)
+SUMIFS('coef1_by_am_month_2023'!$D:$D,'coef1_by_am_month_2023'!$A:$A,"2023-"&amp;TEXT(B18,"00"),'coef1_by_am_month_2023'!$B:$B,$A$5))
))</f>
        <v/>
      </c>
      <c r="F18" s="9" t="str">
        <f>IF($A$5="","",IF(
 SUMIFS('coef2_by_am_month_2023'!$D:$D,'coef2_by_am_month_2023'!$A:$A,DATE(2023,B18,1),'coef2_by_am_month_2023'!$B:$B,$A$5)
+SUMIFS('coef2_by_am_month_2023'!$D:$D,'coef2_by_am_month_2023'!$A:$A,"2023-"&amp;TEXT(B18,"00"),'coef2_by_am_month_2023'!$B:$B,$A$5)
=0,"",
(SUMIFS('coef2_by_am_month_2023'!$C:$C,'coef2_by_am_month_2023'!$A:$A,DATE(2023,B18,1),'coef2_by_am_month_2023'!$B:$B,$A$5)
+SUMIFS('coef2_by_am_month_2023'!$C:$C,'coef2_by_am_month_2023'!$A:$A,"2023-"&amp;TEXT(B18,"00"),'coef2_by_am_month_2023'!$B:$B,$A$5))
/
(SUMIFS('coef2_by_am_month_2023'!$D:$D,'coef2_by_am_month_2023'!$A:$A,DATE(2023,B18,1),'coef2_by_am_month_2023'!$B:$B,$A$5)
+SUMIFS('coef2_by_am_month_2023'!$D:$D,'coef2_by_am_month_2023'!$A:$A,"2023-"&amp;TEXT(B18,"00"),'coef2_by_am_month_2023'!$B:$B,$A$5))
))</f>
        <v/>
      </c>
    </row>
    <row r="19" spans="2:6" x14ac:dyDescent="0.25">
      <c r="B19" s="5">
        <v>4</v>
      </c>
      <c r="C19" s="8">
        <f>IFERROR(VLOOKUP(DATE(2023,B19,1),'coef1_dept_month_2023'!$A:$E,5,FALSE),"")</f>
        <v>0.86742300000000006</v>
      </c>
      <c r="D19" s="8">
        <f>IFERROR(VLOOKUP(DATE(2023,B19,1),'coef2_dept_month_2023'!$A:$E,5,FALSE),"")</f>
        <v>0.26890900000000001</v>
      </c>
      <c r="E19" s="8" t="str">
        <f>IF($A$5="","",IF(
 SUMIFS('coef1_by_am_month_2023'!$D:$D,'coef1_by_am_month_2023'!$A:$A,DATE(2023,B19,1),'coef1_by_am_month_2023'!$B:$B,$A$5)
+SUMIFS('coef1_by_am_month_2023'!$D:$D,'coef1_by_am_month_2023'!$A:$A,"2023-"&amp;TEXT(B19,"00"),'coef1_by_am_month_2023'!$B:$B,$A$5)
=0,"",
(SUMIFS('coef1_by_am_month_2023'!$C:$C,'coef1_by_am_month_2023'!$A:$A,DATE(2023,B19,1),'coef1_by_am_month_2023'!$B:$B,$A$5)
+SUMIFS('coef1_by_am_month_2023'!$C:$C,'coef1_by_am_month_2023'!$A:$A,"2023-"&amp;TEXT(B19,"00"),'coef1_by_am_month_2023'!$B:$B,$A$5))
/
(SUMIFS('coef1_by_am_month_2023'!$D:$D,'coef1_by_am_month_2023'!$A:$A,DATE(2023,B19,1),'coef1_by_am_month_2023'!$B:$B,$A$5)
+SUMIFS('coef1_by_am_month_2023'!$D:$D,'coef1_by_am_month_2023'!$A:$A,"2023-"&amp;TEXT(B19,"00"),'coef1_by_am_month_2023'!$B:$B,$A$5))
))</f>
        <v/>
      </c>
      <c r="F19" s="9" t="str">
        <f>IF($A$5="","",IF(
 SUMIFS('coef2_by_am_month_2023'!$D:$D,'coef2_by_am_month_2023'!$A:$A,DATE(2023,B19,1),'coef2_by_am_month_2023'!$B:$B,$A$5)
+SUMIFS('coef2_by_am_month_2023'!$D:$D,'coef2_by_am_month_2023'!$A:$A,"2023-"&amp;TEXT(B19,"00"),'coef2_by_am_month_2023'!$B:$B,$A$5)
=0,"",
(SUMIFS('coef2_by_am_month_2023'!$C:$C,'coef2_by_am_month_2023'!$A:$A,DATE(2023,B19,1),'coef2_by_am_month_2023'!$B:$B,$A$5)
+SUMIFS('coef2_by_am_month_2023'!$C:$C,'coef2_by_am_month_2023'!$A:$A,"2023-"&amp;TEXT(B19,"00"),'coef2_by_am_month_2023'!$B:$B,$A$5))
/
(SUMIFS('coef2_by_am_month_2023'!$D:$D,'coef2_by_am_month_2023'!$A:$A,DATE(2023,B19,1),'coef2_by_am_month_2023'!$B:$B,$A$5)
+SUMIFS('coef2_by_am_month_2023'!$D:$D,'coef2_by_am_month_2023'!$A:$A,"2023-"&amp;TEXT(B19,"00"),'coef2_by_am_month_2023'!$B:$B,$A$5))
))</f>
        <v/>
      </c>
    </row>
    <row r="20" spans="2:6" x14ac:dyDescent="0.25">
      <c r="B20" s="5">
        <v>5</v>
      </c>
      <c r="C20" s="8">
        <f>IFERROR(VLOOKUP(DATE(2023,B20,1),'coef1_dept_month_2023'!$A:$E,5,FALSE),"")</f>
        <v>0.84207100000000001</v>
      </c>
      <c r="D20" s="8" t="str">
        <f>IFERROR(VLOOKUP(DATE(2023,B20,1),'coef2_dept_month_2023'!$A:$E,5,FALSE),"")</f>
        <v/>
      </c>
      <c r="E20" s="8" t="str">
        <f>IF($A$5="","",IF(
 SUMIFS('coef1_by_am_month_2023'!$D:$D,'coef1_by_am_month_2023'!$A:$A,DATE(2023,B20,1),'coef1_by_am_month_2023'!$B:$B,$A$5)
+SUMIFS('coef1_by_am_month_2023'!$D:$D,'coef1_by_am_month_2023'!$A:$A,"2023-"&amp;TEXT(B20,"00"),'coef1_by_am_month_2023'!$B:$B,$A$5)
=0,"",
(SUMIFS('coef1_by_am_month_2023'!$C:$C,'coef1_by_am_month_2023'!$A:$A,DATE(2023,B20,1),'coef1_by_am_month_2023'!$B:$B,$A$5)
+SUMIFS('coef1_by_am_month_2023'!$C:$C,'coef1_by_am_month_2023'!$A:$A,"2023-"&amp;TEXT(B20,"00"),'coef1_by_am_month_2023'!$B:$B,$A$5))
/
(SUMIFS('coef1_by_am_month_2023'!$D:$D,'coef1_by_am_month_2023'!$A:$A,DATE(2023,B20,1),'coef1_by_am_month_2023'!$B:$B,$A$5)
+SUMIFS('coef1_by_am_month_2023'!$D:$D,'coef1_by_am_month_2023'!$A:$A,"2023-"&amp;TEXT(B20,"00"),'coef1_by_am_month_2023'!$B:$B,$A$5))
))</f>
        <v/>
      </c>
      <c r="F20" s="9" t="str">
        <f>IF($A$5="","",IF(
 SUMIFS('coef2_by_am_month_2023'!$D:$D,'coef2_by_am_month_2023'!$A:$A,DATE(2023,B20,1),'coef2_by_am_month_2023'!$B:$B,$A$5)
+SUMIFS('coef2_by_am_month_2023'!$D:$D,'coef2_by_am_month_2023'!$A:$A,"2023-"&amp;TEXT(B20,"00"),'coef2_by_am_month_2023'!$B:$B,$A$5)
=0,"",
(SUMIFS('coef2_by_am_month_2023'!$C:$C,'coef2_by_am_month_2023'!$A:$A,DATE(2023,B20,1),'coef2_by_am_month_2023'!$B:$B,$A$5)
+SUMIFS('coef2_by_am_month_2023'!$C:$C,'coef2_by_am_month_2023'!$A:$A,"2023-"&amp;TEXT(B20,"00"),'coef2_by_am_month_2023'!$B:$B,$A$5))
/
(SUMIFS('coef2_by_am_month_2023'!$D:$D,'coef2_by_am_month_2023'!$A:$A,DATE(2023,B20,1),'coef2_by_am_month_2023'!$B:$B,$A$5)
+SUMIFS('coef2_by_am_month_2023'!$D:$D,'coef2_by_am_month_2023'!$A:$A,"2023-"&amp;TEXT(B20,"00"),'coef2_by_am_month_2023'!$B:$B,$A$5))
))</f>
        <v/>
      </c>
    </row>
    <row r="21" spans="2:6" x14ac:dyDescent="0.25">
      <c r="B21" s="5">
        <v>6</v>
      </c>
      <c r="C21" s="8">
        <f>IFERROR(VLOOKUP(DATE(2023,B21,1),'coef1_dept_month_2023'!$A:$E,5,FALSE),"")</f>
        <v>0.93025100000000005</v>
      </c>
      <c r="D21" s="8">
        <f>IFERROR(VLOOKUP(DATE(2023,B21,1),'coef2_dept_month_2023'!$A:$E,5,FALSE),"")</f>
        <v>0.196019</v>
      </c>
      <c r="E21" s="8" t="str">
        <f>IF($A$5="","",IF(
 SUMIFS('coef1_by_am_month_2023'!$D:$D,'coef1_by_am_month_2023'!$A:$A,DATE(2023,B21,1),'coef1_by_am_month_2023'!$B:$B,$A$5)
+SUMIFS('coef1_by_am_month_2023'!$D:$D,'coef1_by_am_month_2023'!$A:$A,"2023-"&amp;TEXT(B21,"00"),'coef1_by_am_month_2023'!$B:$B,$A$5)
=0,"",
(SUMIFS('coef1_by_am_month_2023'!$C:$C,'coef1_by_am_month_2023'!$A:$A,DATE(2023,B21,1),'coef1_by_am_month_2023'!$B:$B,$A$5)
+SUMIFS('coef1_by_am_month_2023'!$C:$C,'coef1_by_am_month_2023'!$A:$A,"2023-"&amp;TEXT(B21,"00"),'coef1_by_am_month_2023'!$B:$B,$A$5))
/
(SUMIFS('coef1_by_am_month_2023'!$D:$D,'coef1_by_am_month_2023'!$A:$A,DATE(2023,B21,1),'coef1_by_am_month_2023'!$B:$B,$A$5)
+SUMIFS('coef1_by_am_month_2023'!$D:$D,'coef1_by_am_month_2023'!$A:$A,"2023-"&amp;TEXT(B21,"00"),'coef1_by_am_month_2023'!$B:$B,$A$5))
))</f>
        <v/>
      </c>
      <c r="F21" s="9" t="str">
        <f>IF($A$5="","",IF(
 SUMIFS('coef2_by_am_month_2023'!$D:$D,'coef2_by_am_month_2023'!$A:$A,DATE(2023,B21,1),'coef2_by_am_month_2023'!$B:$B,$A$5)
+SUMIFS('coef2_by_am_month_2023'!$D:$D,'coef2_by_am_month_2023'!$A:$A,"2023-"&amp;TEXT(B21,"00"),'coef2_by_am_month_2023'!$B:$B,$A$5)
=0,"",
(SUMIFS('coef2_by_am_month_2023'!$C:$C,'coef2_by_am_month_2023'!$A:$A,DATE(2023,B21,1),'coef2_by_am_month_2023'!$B:$B,$A$5)
+SUMIFS('coef2_by_am_month_2023'!$C:$C,'coef2_by_am_month_2023'!$A:$A,"2023-"&amp;TEXT(B21,"00"),'coef2_by_am_month_2023'!$B:$B,$A$5))
/
(SUMIFS('coef2_by_am_month_2023'!$D:$D,'coef2_by_am_month_2023'!$A:$A,DATE(2023,B21,1),'coef2_by_am_month_2023'!$B:$B,$A$5)
+SUMIFS('coef2_by_am_month_2023'!$D:$D,'coef2_by_am_month_2023'!$A:$A,"2023-"&amp;TEXT(B21,"00"),'coef2_by_am_month_2023'!$B:$B,$A$5))
))</f>
        <v/>
      </c>
    </row>
    <row r="22" spans="2:6" x14ac:dyDescent="0.25">
      <c r="B22" s="5">
        <v>7</v>
      </c>
      <c r="C22" s="8">
        <f>IFERROR(VLOOKUP(DATE(2023,B22,1),'coef1_dept_month_2023'!$A:$E,5,FALSE),"")</f>
        <v>0.88855300000000004</v>
      </c>
      <c r="D22" s="8">
        <f>IFERROR(VLOOKUP(DATE(2023,B22,1),'coef2_dept_month_2023'!$A:$E,5,FALSE),"")</f>
        <v>0.41179300000000002</v>
      </c>
      <c r="E22" s="8" t="str">
        <f>IF($A$5="","",IF(
 SUMIFS('coef1_by_am_month_2023'!$D:$D,'coef1_by_am_month_2023'!$A:$A,DATE(2023,B22,1),'coef1_by_am_month_2023'!$B:$B,$A$5)
+SUMIFS('coef1_by_am_month_2023'!$D:$D,'coef1_by_am_month_2023'!$A:$A,"2023-"&amp;TEXT(B22,"00"),'coef1_by_am_month_2023'!$B:$B,$A$5)
=0,"",
(SUMIFS('coef1_by_am_month_2023'!$C:$C,'coef1_by_am_month_2023'!$A:$A,DATE(2023,B22,1),'coef1_by_am_month_2023'!$B:$B,$A$5)
+SUMIFS('coef1_by_am_month_2023'!$C:$C,'coef1_by_am_month_2023'!$A:$A,"2023-"&amp;TEXT(B22,"00"),'coef1_by_am_month_2023'!$B:$B,$A$5))
/
(SUMIFS('coef1_by_am_month_2023'!$D:$D,'coef1_by_am_month_2023'!$A:$A,DATE(2023,B22,1),'coef1_by_am_month_2023'!$B:$B,$A$5)
+SUMIFS('coef1_by_am_month_2023'!$D:$D,'coef1_by_am_month_2023'!$A:$A,"2023-"&amp;TEXT(B22,"00"),'coef1_by_am_month_2023'!$B:$B,$A$5))
))</f>
        <v/>
      </c>
      <c r="F22" s="9" t="str">
        <f>IF($A$5="","",IF(
 SUMIFS('coef2_by_am_month_2023'!$D:$D,'coef2_by_am_month_2023'!$A:$A,DATE(2023,B22,1),'coef2_by_am_month_2023'!$B:$B,$A$5)
+SUMIFS('coef2_by_am_month_2023'!$D:$D,'coef2_by_am_month_2023'!$A:$A,"2023-"&amp;TEXT(B22,"00"),'coef2_by_am_month_2023'!$B:$B,$A$5)
=0,"",
(SUMIFS('coef2_by_am_month_2023'!$C:$C,'coef2_by_am_month_2023'!$A:$A,DATE(2023,B22,1),'coef2_by_am_month_2023'!$B:$B,$A$5)
+SUMIFS('coef2_by_am_month_2023'!$C:$C,'coef2_by_am_month_2023'!$A:$A,"2023-"&amp;TEXT(B22,"00"),'coef2_by_am_month_2023'!$B:$B,$A$5))
/
(SUMIFS('coef2_by_am_month_2023'!$D:$D,'coef2_by_am_month_2023'!$A:$A,DATE(2023,B22,1),'coef2_by_am_month_2023'!$B:$B,$A$5)
+SUMIFS('coef2_by_am_month_2023'!$D:$D,'coef2_by_am_month_2023'!$A:$A,"2023-"&amp;TEXT(B22,"00"),'coef2_by_am_month_2023'!$B:$B,$A$5))
))</f>
        <v/>
      </c>
    </row>
    <row r="23" spans="2:6" x14ac:dyDescent="0.25">
      <c r="B23" s="5">
        <v>8</v>
      </c>
      <c r="C23" s="8">
        <f>IFERROR(VLOOKUP(DATE(2023,B23,1),'coef1_dept_month_2023'!$A:$E,5,FALSE),"")</f>
        <v>0.90429499999999996</v>
      </c>
      <c r="D23" s="8">
        <f>IFERROR(VLOOKUP(DATE(2023,B23,1),'coef2_dept_month_2023'!$A:$E,5,FALSE),"")</f>
        <v>0.67443600000000004</v>
      </c>
      <c r="E23" s="8" t="str">
        <f>IF($A$5="","",IF(
 SUMIFS('coef1_by_am_month_2023'!$D:$D,'coef1_by_am_month_2023'!$A:$A,DATE(2023,B23,1),'coef1_by_am_month_2023'!$B:$B,$A$5)
+SUMIFS('coef1_by_am_month_2023'!$D:$D,'coef1_by_am_month_2023'!$A:$A,"2023-"&amp;TEXT(B23,"00"),'coef1_by_am_month_2023'!$B:$B,$A$5)
=0,"",
(SUMIFS('coef1_by_am_month_2023'!$C:$C,'coef1_by_am_month_2023'!$A:$A,DATE(2023,B23,1),'coef1_by_am_month_2023'!$B:$B,$A$5)
+SUMIFS('coef1_by_am_month_2023'!$C:$C,'coef1_by_am_month_2023'!$A:$A,"2023-"&amp;TEXT(B23,"00"),'coef1_by_am_month_2023'!$B:$B,$A$5))
/
(SUMIFS('coef1_by_am_month_2023'!$D:$D,'coef1_by_am_month_2023'!$A:$A,DATE(2023,B23,1),'coef1_by_am_month_2023'!$B:$B,$A$5)
+SUMIFS('coef1_by_am_month_2023'!$D:$D,'coef1_by_am_month_2023'!$A:$A,"2023-"&amp;TEXT(B23,"00"),'coef1_by_am_month_2023'!$B:$B,$A$5))
))</f>
        <v/>
      </c>
      <c r="F23" s="9" t="str">
        <f>IF($A$5="","",IF(
 SUMIFS('coef2_by_am_month_2023'!$D:$D,'coef2_by_am_month_2023'!$A:$A,DATE(2023,B23,1),'coef2_by_am_month_2023'!$B:$B,$A$5)
+SUMIFS('coef2_by_am_month_2023'!$D:$D,'coef2_by_am_month_2023'!$A:$A,"2023-"&amp;TEXT(B23,"00"),'coef2_by_am_month_2023'!$B:$B,$A$5)
=0,"",
(SUMIFS('coef2_by_am_month_2023'!$C:$C,'coef2_by_am_month_2023'!$A:$A,DATE(2023,B23,1),'coef2_by_am_month_2023'!$B:$B,$A$5)
+SUMIFS('coef2_by_am_month_2023'!$C:$C,'coef2_by_am_month_2023'!$A:$A,"2023-"&amp;TEXT(B23,"00"),'coef2_by_am_month_2023'!$B:$B,$A$5))
/
(SUMIFS('coef2_by_am_month_2023'!$D:$D,'coef2_by_am_month_2023'!$A:$A,DATE(2023,B23,1),'coef2_by_am_month_2023'!$B:$B,$A$5)
+SUMIFS('coef2_by_am_month_2023'!$D:$D,'coef2_by_am_month_2023'!$A:$A,"2023-"&amp;TEXT(B23,"00"),'coef2_by_am_month_2023'!$B:$B,$A$5))
))</f>
        <v/>
      </c>
    </row>
    <row r="24" spans="2:6" x14ac:dyDescent="0.25">
      <c r="B24" s="5">
        <v>9</v>
      </c>
      <c r="C24" s="8">
        <f>IFERROR(VLOOKUP(DATE(2023,B24,1),'coef1_dept_month_2023'!$A:$E,5,FALSE),"")</f>
        <v>0.84608799999999995</v>
      </c>
      <c r="D24" s="8" t="str">
        <f>IFERROR(VLOOKUP(DATE(2023,B24,1),'coef2_dept_month_2023'!$A:$E,5,FALSE),"")</f>
        <v/>
      </c>
      <c r="E24" s="8" t="str">
        <f>IF($A$5="","",IF(
 SUMIFS('coef1_by_am_month_2023'!$D:$D,'coef1_by_am_month_2023'!$A:$A,DATE(2023,B24,1),'coef1_by_am_month_2023'!$B:$B,$A$5)
+SUMIFS('coef1_by_am_month_2023'!$D:$D,'coef1_by_am_month_2023'!$A:$A,"2023-"&amp;TEXT(B24,"00"),'coef1_by_am_month_2023'!$B:$B,$A$5)
=0,"",
(SUMIFS('coef1_by_am_month_2023'!$C:$C,'coef1_by_am_month_2023'!$A:$A,DATE(2023,B24,1),'coef1_by_am_month_2023'!$B:$B,$A$5)
+SUMIFS('coef1_by_am_month_2023'!$C:$C,'coef1_by_am_month_2023'!$A:$A,"2023-"&amp;TEXT(B24,"00"),'coef1_by_am_month_2023'!$B:$B,$A$5))
/
(SUMIFS('coef1_by_am_month_2023'!$D:$D,'coef1_by_am_month_2023'!$A:$A,DATE(2023,B24,1),'coef1_by_am_month_2023'!$B:$B,$A$5)
+SUMIFS('coef1_by_am_month_2023'!$D:$D,'coef1_by_am_month_2023'!$A:$A,"2023-"&amp;TEXT(B24,"00"),'coef1_by_am_month_2023'!$B:$B,$A$5))
))</f>
        <v/>
      </c>
      <c r="F24" s="9" t="str">
        <f>IF($A$5="","",IF(
 SUMIFS('coef2_by_am_month_2023'!$D:$D,'coef2_by_am_month_2023'!$A:$A,DATE(2023,B24,1),'coef2_by_am_month_2023'!$B:$B,$A$5)
+SUMIFS('coef2_by_am_month_2023'!$D:$D,'coef2_by_am_month_2023'!$A:$A,"2023-"&amp;TEXT(B24,"00"),'coef2_by_am_month_2023'!$B:$B,$A$5)
=0,"",
(SUMIFS('coef2_by_am_month_2023'!$C:$C,'coef2_by_am_month_2023'!$A:$A,DATE(2023,B24,1),'coef2_by_am_month_2023'!$B:$B,$A$5)
+SUMIFS('coef2_by_am_month_2023'!$C:$C,'coef2_by_am_month_2023'!$A:$A,"2023-"&amp;TEXT(B24,"00"),'coef2_by_am_month_2023'!$B:$B,$A$5))
/
(SUMIFS('coef2_by_am_month_2023'!$D:$D,'coef2_by_am_month_2023'!$A:$A,DATE(2023,B24,1),'coef2_by_am_month_2023'!$B:$B,$A$5)
+SUMIFS('coef2_by_am_month_2023'!$D:$D,'coef2_by_am_month_2023'!$A:$A,"2023-"&amp;TEXT(B24,"00"),'coef2_by_am_month_2023'!$B:$B,$A$5))
))</f>
        <v/>
      </c>
    </row>
    <row r="25" spans="2:6" x14ac:dyDescent="0.25">
      <c r="B25" s="5">
        <v>10</v>
      </c>
      <c r="C25" s="8">
        <f>IFERROR(VLOOKUP(DATE(2023,B25,1),'coef1_dept_month_2023'!$A:$E,5,FALSE),"")</f>
        <v>0.96105300000000005</v>
      </c>
      <c r="D25" s="8">
        <f>IFERROR(VLOOKUP(DATE(2023,B25,1),'coef2_dept_month_2023'!$A:$E,5,FALSE),"")</f>
        <v>0.239649</v>
      </c>
      <c r="E25" s="8" t="str">
        <f>IF($A$5="","",IF(
 SUMIFS('coef1_by_am_month_2023'!$D:$D,'coef1_by_am_month_2023'!$A:$A,DATE(2023,B25,1),'coef1_by_am_month_2023'!$B:$B,$A$5)
+SUMIFS('coef1_by_am_month_2023'!$D:$D,'coef1_by_am_month_2023'!$A:$A,"2023-"&amp;TEXT(B25,"00"),'coef1_by_am_month_2023'!$B:$B,$A$5)
=0,"",
(SUMIFS('coef1_by_am_month_2023'!$C:$C,'coef1_by_am_month_2023'!$A:$A,DATE(2023,B25,1),'coef1_by_am_month_2023'!$B:$B,$A$5)
+SUMIFS('coef1_by_am_month_2023'!$C:$C,'coef1_by_am_month_2023'!$A:$A,"2023-"&amp;TEXT(B25,"00"),'coef1_by_am_month_2023'!$B:$B,$A$5))
/
(SUMIFS('coef1_by_am_month_2023'!$D:$D,'coef1_by_am_month_2023'!$A:$A,DATE(2023,B25,1),'coef1_by_am_month_2023'!$B:$B,$A$5)
+SUMIFS('coef1_by_am_month_2023'!$D:$D,'coef1_by_am_month_2023'!$A:$A,"2023-"&amp;TEXT(B25,"00"),'coef1_by_am_month_2023'!$B:$B,$A$5))
))</f>
        <v/>
      </c>
      <c r="F25" s="9" t="str">
        <f>IF($A$5="","",IF(
 SUMIFS('coef2_by_am_month_2023'!$D:$D,'coef2_by_am_month_2023'!$A:$A,DATE(2023,B25,1),'coef2_by_am_month_2023'!$B:$B,$A$5)
+SUMIFS('coef2_by_am_month_2023'!$D:$D,'coef2_by_am_month_2023'!$A:$A,"2023-"&amp;TEXT(B25,"00"),'coef2_by_am_month_2023'!$B:$B,$A$5)
=0,"",
(SUMIFS('coef2_by_am_month_2023'!$C:$C,'coef2_by_am_month_2023'!$A:$A,DATE(2023,B25,1),'coef2_by_am_month_2023'!$B:$B,$A$5)
+SUMIFS('coef2_by_am_month_2023'!$C:$C,'coef2_by_am_month_2023'!$A:$A,"2023-"&amp;TEXT(B25,"00"),'coef2_by_am_month_2023'!$B:$B,$A$5))
/
(SUMIFS('coef2_by_am_month_2023'!$D:$D,'coef2_by_am_month_2023'!$A:$A,DATE(2023,B25,1),'coef2_by_am_month_2023'!$B:$B,$A$5)
+SUMIFS('coef2_by_am_month_2023'!$D:$D,'coef2_by_am_month_2023'!$A:$A,"2023-"&amp;TEXT(B25,"00"),'coef2_by_am_month_2023'!$B:$B,$A$5))
))</f>
        <v/>
      </c>
    </row>
    <row r="26" spans="2:6" x14ac:dyDescent="0.25">
      <c r="B26" s="5">
        <v>11</v>
      </c>
      <c r="C26" s="8">
        <f>IFERROR(VLOOKUP(DATE(2023,B26,1),'coef1_dept_month_2023'!$A:$E,5,FALSE),"")</f>
        <v>0.834005</v>
      </c>
      <c r="D26" s="8">
        <f>IFERROR(VLOOKUP(DATE(2023,B26,1),'coef2_dept_month_2023'!$A:$E,5,FALSE),"")</f>
        <v>0.26211800000000002</v>
      </c>
      <c r="E26" s="8" t="str">
        <f>IF($A$5="","",IF(
 SUMIFS('coef1_by_am_month_2023'!$D:$D,'coef1_by_am_month_2023'!$A:$A,DATE(2023,B26,1),'coef1_by_am_month_2023'!$B:$B,$A$5)
+SUMIFS('coef1_by_am_month_2023'!$D:$D,'coef1_by_am_month_2023'!$A:$A,"2023-"&amp;TEXT(B26,"00"),'coef1_by_am_month_2023'!$B:$B,$A$5)
=0,"",
(SUMIFS('coef1_by_am_month_2023'!$C:$C,'coef1_by_am_month_2023'!$A:$A,DATE(2023,B26,1),'coef1_by_am_month_2023'!$B:$B,$A$5)
+SUMIFS('coef1_by_am_month_2023'!$C:$C,'coef1_by_am_month_2023'!$A:$A,"2023-"&amp;TEXT(B26,"00"),'coef1_by_am_month_2023'!$B:$B,$A$5))
/
(SUMIFS('coef1_by_am_month_2023'!$D:$D,'coef1_by_am_month_2023'!$A:$A,DATE(2023,B26,1),'coef1_by_am_month_2023'!$B:$B,$A$5)
+SUMIFS('coef1_by_am_month_2023'!$D:$D,'coef1_by_am_month_2023'!$A:$A,"2023-"&amp;TEXT(B26,"00"),'coef1_by_am_month_2023'!$B:$B,$A$5))
))</f>
        <v/>
      </c>
      <c r="F26" s="9" t="str">
        <f>IF($A$5="","",IF(
 SUMIFS('coef2_by_am_month_2023'!$D:$D,'coef2_by_am_month_2023'!$A:$A,DATE(2023,B26,1),'coef2_by_am_month_2023'!$B:$B,$A$5)
+SUMIFS('coef2_by_am_month_2023'!$D:$D,'coef2_by_am_month_2023'!$A:$A,"2023-"&amp;TEXT(B26,"00"),'coef2_by_am_month_2023'!$B:$B,$A$5)
=0,"",
(SUMIFS('coef2_by_am_month_2023'!$C:$C,'coef2_by_am_month_2023'!$A:$A,DATE(2023,B26,1),'coef2_by_am_month_2023'!$B:$B,$A$5)
+SUMIFS('coef2_by_am_month_2023'!$C:$C,'coef2_by_am_month_2023'!$A:$A,"2023-"&amp;TEXT(B26,"00"),'coef2_by_am_month_2023'!$B:$B,$A$5))
/
(SUMIFS('coef2_by_am_month_2023'!$D:$D,'coef2_by_am_month_2023'!$A:$A,DATE(2023,B26,1),'coef2_by_am_month_2023'!$B:$B,$A$5)
+SUMIFS('coef2_by_am_month_2023'!$D:$D,'coef2_by_am_month_2023'!$A:$A,"2023-"&amp;TEXT(B26,"00"),'coef2_by_am_month_2023'!$B:$B,$A$5))
))</f>
        <v/>
      </c>
    </row>
    <row r="27" spans="2:6" x14ac:dyDescent="0.25">
      <c r="B27" s="6">
        <v>12</v>
      </c>
      <c r="C27" s="10">
        <f>IFERROR(VLOOKUP(DATE(2023,B27,1),'coef1_dept_month_2023'!$A:$E,5,FALSE),"")</f>
        <v>0.95976700000000004</v>
      </c>
      <c r="D27" s="10">
        <f>IFERROR(VLOOKUP(DATE(2023,B27,1),'coef2_dept_month_2023'!$A:$E,5,FALSE),"")</f>
        <v>0.129886</v>
      </c>
      <c r="E27" s="10">
        <f>IF($A$5="","",IF(
 SUMIFS('coef1_by_am_month_2023'!$D:$D,'coef1_by_am_month_2023'!$A:$A,DATE(2023,B27,1),'coef1_by_am_month_2023'!$B:$B,$A$5)
+SUMIFS('coef1_by_am_month_2023'!$D:$D,'coef1_by_am_month_2023'!$A:$A,"2023-"&amp;TEXT(B27,"00"),'coef1_by_am_month_2023'!$B:$B,$A$5)
=0,"",
(SUMIFS('coef1_by_am_month_2023'!$C:$C,'coef1_by_am_month_2023'!$A:$A,DATE(2023,B27,1),'coef1_by_am_month_2023'!$B:$B,$A$5)
+SUMIFS('coef1_by_am_month_2023'!$C:$C,'coef1_by_am_month_2023'!$A:$A,"2023-"&amp;TEXT(B27,"00"),'coef1_by_am_month_2023'!$B:$B,$A$5))
/
(SUMIFS('coef1_by_am_month_2023'!$D:$D,'coef1_by_am_month_2023'!$A:$A,DATE(2023,B27,1),'coef1_by_am_month_2023'!$B:$B,$A$5)
+SUMIFS('coef1_by_am_month_2023'!$D:$D,'coef1_by_am_month_2023'!$A:$A,"2023-"&amp;TEXT(B27,"00"),'coef1_by_am_month_2023'!$B:$B,$A$5))
))</f>
        <v>0</v>
      </c>
      <c r="F27" s="11" t="str">
        <f>IF($A$5="","",IF(
 SUMIFS('coef2_by_am_month_2023'!$D:$D,'coef2_by_am_month_2023'!$A:$A,DATE(2023,B27,1),'coef2_by_am_month_2023'!$B:$B,$A$5)
+SUMIFS('coef2_by_am_month_2023'!$D:$D,'coef2_by_am_month_2023'!$A:$A,"2023-"&amp;TEXT(B27,"00"),'coef2_by_am_month_2023'!$B:$B,$A$5)
=0,"",
(SUMIFS('coef2_by_am_month_2023'!$C:$C,'coef2_by_am_month_2023'!$A:$A,DATE(2023,B27,1),'coef2_by_am_month_2023'!$B:$B,$A$5)
+SUMIFS('coef2_by_am_month_2023'!$C:$C,'coef2_by_am_month_2023'!$A:$A,"2023-"&amp;TEXT(B27,"00"),'coef2_by_am_month_2023'!$B:$B,$A$5))
/
(SUMIFS('coef2_by_am_month_2023'!$D:$D,'coef2_by_am_month_2023'!$A:$A,DATE(2023,B27,1),'coef2_by_am_month_2023'!$B:$B,$A$5)
+SUMIFS('coef2_by_am_month_2023'!$D:$D,'coef2_by_am_month_2023'!$A:$A,"2023-"&amp;TEXT(B27,"00"),'coef2_by_am_month_2023'!$B:$B,$A$5))
))</f>
        <v/>
      </c>
    </row>
  </sheetData>
  <mergeCells count="3">
    <mergeCell ref="C2:D2"/>
    <mergeCell ref="C8:D8"/>
    <mergeCell ref="B14:F14"/>
  </mergeCells>
  <dataValidations count="1">
    <dataValidation type="list" allowBlank="1" showInputMessage="1" showErrorMessage="1" promptTitle="Месяц" prompt="Выберете число 1-12" sqref="A3" xr:uid="{10169122-A53A-45EC-9D0C-DE4369F02D80}">
      <formula1>"1,2,3,4,5,6,7,8,9,10,11,12"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6BF278-4DC9-4DC9-93E6-2BE70EF10310}">
          <x14:formula1>
            <xm:f>'coef1_by_am_year_2023'!$B$2:$B$11</xm:f>
          </x14:formula1>
          <xm:sqref>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E9E9-05D1-42FA-BB27-D4A178505080}">
  <dimension ref="A1:E94"/>
  <sheetViews>
    <sheetView topLeftCell="A2" workbookViewId="0">
      <selection activeCell="A2" sqref="A2"/>
    </sheetView>
  </sheetViews>
  <sheetFormatPr defaultRowHeight="15" x14ac:dyDescent="0.25"/>
  <cols>
    <col min="1" max="1" width="9.140625" style="3"/>
    <col min="2" max="2" width="31.140625" bestFit="1" customWidth="1"/>
    <col min="3" max="4" width="12" bestFit="1" customWidth="1"/>
    <col min="5" max="5" width="9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1" t="s">
        <v>6</v>
      </c>
      <c r="C2">
        <v>18247760.940000001</v>
      </c>
      <c r="D2">
        <v>20719288.100000001</v>
      </c>
      <c r="E2">
        <v>0.880714</v>
      </c>
    </row>
    <row r="3" spans="1:5" x14ac:dyDescent="0.25">
      <c r="A3" s="3" t="s">
        <v>5</v>
      </c>
      <c r="B3" s="1" t="s">
        <v>7</v>
      </c>
      <c r="C3">
        <v>3897533.84</v>
      </c>
      <c r="D3">
        <v>10283051.42</v>
      </c>
      <c r="E3">
        <v>0.379025</v>
      </c>
    </row>
    <row r="4" spans="1:5" x14ac:dyDescent="0.25">
      <c r="A4" s="3" t="s">
        <v>5</v>
      </c>
      <c r="B4" s="1" t="s">
        <v>8</v>
      </c>
      <c r="C4">
        <v>1356722</v>
      </c>
      <c r="D4">
        <v>2067179</v>
      </c>
      <c r="E4">
        <v>0.65631600000000001</v>
      </c>
    </row>
    <row r="5" spans="1:5" x14ac:dyDescent="0.25">
      <c r="A5" s="3" t="s">
        <v>5</v>
      </c>
      <c r="B5" s="1" t="s">
        <v>9</v>
      </c>
      <c r="C5">
        <v>5889388.1799999997</v>
      </c>
      <c r="D5">
        <v>5591640.4199999999</v>
      </c>
      <c r="E5">
        <v>1.0532490000000001</v>
      </c>
    </row>
    <row r="6" spans="1:5" x14ac:dyDescent="0.25">
      <c r="A6" s="3" t="s">
        <v>5</v>
      </c>
      <c r="B6" s="1" t="s">
        <v>10</v>
      </c>
      <c r="C6">
        <v>3991491.36</v>
      </c>
      <c r="D6">
        <v>9310790.5</v>
      </c>
      <c r="E6">
        <v>0.42869499999999999</v>
      </c>
    </row>
    <row r="7" spans="1:5" x14ac:dyDescent="0.25">
      <c r="A7" s="3" t="s">
        <v>5</v>
      </c>
      <c r="B7" s="1" t="s">
        <v>11</v>
      </c>
      <c r="C7">
        <v>3121342.4</v>
      </c>
      <c r="D7">
        <v>3150864.4</v>
      </c>
      <c r="E7">
        <v>0.99063100000000004</v>
      </c>
    </row>
    <row r="8" spans="1:5" x14ac:dyDescent="0.25">
      <c r="A8" s="3" t="s">
        <v>5</v>
      </c>
      <c r="B8" s="1" t="s">
        <v>12</v>
      </c>
      <c r="C8">
        <v>6419919</v>
      </c>
      <c r="D8">
        <v>7637947.5199999996</v>
      </c>
      <c r="E8">
        <v>0.84052899999999997</v>
      </c>
    </row>
    <row r="9" spans="1:5" x14ac:dyDescent="0.25">
      <c r="A9" s="3" t="s">
        <v>13</v>
      </c>
      <c r="B9" s="1" t="s">
        <v>6</v>
      </c>
      <c r="C9">
        <v>20400901.739999998</v>
      </c>
      <c r="D9">
        <v>19442030.940000001</v>
      </c>
      <c r="E9">
        <v>1.0493189999999999</v>
      </c>
    </row>
    <row r="10" spans="1:5" x14ac:dyDescent="0.25">
      <c r="A10" s="3" t="s">
        <v>13</v>
      </c>
      <c r="B10" s="1" t="s">
        <v>7</v>
      </c>
      <c r="C10">
        <v>4728602.5</v>
      </c>
      <c r="D10">
        <v>4512525.84</v>
      </c>
      <c r="E10">
        <v>1.047884</v>
      </c>
    </row>
    <row r="11" spans="1:5" x14ac:dyDescent="0.25">
      <c r="A11" s="3" t="s">
        <v>13</v>
      </c>
      <c r="B11" s="1" t="s">
        <v>8</v>
      </c>
      <c r="C11">
        <v>1057006</v>
      </c>
      <c r="D11">
        <v>1438722</v>
      </c>
      <c r="E11">
        <v>0.734684</v>
      </c>
    </row>
    <row r="12" spans="1:5" x14ac:dyDescent="0.25">
      <c r="A12" s="3" t="s">
        <v>13</v>
      </c>
      <c r="B12" s="1" t="s">
        <v>9</v>
      </c>
      <c r="C12">
        <v>6839238.1799999997</v>
      </c>
      <c r="D12">
        <v>7204784.1799999997</v>
      </c>
      <c r="E12">
        <v>0.94926299999999997</v>
      </c>
    </row>
    <row r="13" spans="1:5" x14ac:dyDescent="0.25">
      <c r="A13" s="3" t="s">
        <v>13</v>
      </c>
      <c r="B13" s="1" t="s">
        <v>10</v>
      </c>
      <c r="C13">
        <v>4465280</v>
      </c>
      <c r="D13">
        <v>4496869.3600000003</v>
      </c>
      <c r="E13">
        <v>0.99297500000000005</v>
      </c>
    </row>
    <row r="14" spans="1:5" x14ac:dyDescent="0.25">
      <c r="A14" s="3" t="s">
        <v>13</v>
      </c>
      <c r="B14" s="1" t="s">
        <v>11</v>
      </c>
      <c r="C14">
        <v>3759274.6</v>
      </c>
      <c r="D14">
        <v>3767965.2</v>
      </c>
      <c r="E14">
        <v>0.99769399999999997</v>
      </c>
    </row>
    <row r="15" spans="1:5" x14ac:dyDescent="0.25">
      <c r="A15" s="3" t="s">
        <v>13</v>
      </c>
      <c r="B15" s="1" t="s">
        <v>12</v>
      </c>
      <c r="C15">
        <v>5410496</v>
      </c>
      <c r="D15">
        <v>7864059</v>
      </c>
      <c r="E15">
        <v>0.68800300000000003</v>
      </c>
    </row>
    <row r="16" spans="1:5" x14ac:dyDescent="0.25">
      <c r="A16" s="3" t="s">
        <v>14</v>
      </c>
      <c r="B16" s="1" t="s">
        <v>6</v>
      </c>
      <c r="C16">
        <v>20832284.559999999</v>
      </c>
      <c r="D16">
        <v>23048491.760000002</v>
      </c>
      <c r="E16">
        <v>0.90384600000000004</v>
      </c>
    </row>
    <row r="17" spans="1:5" x14ac:dyDescent="0.25">
      <c r="A17" s="3" t="s">
        <v>14</v>
      </c>
      <c r="B17" s="1" t="s">
        <v>7</v>
      </c>
      <c r="C17">
        <v>4603768</v>
      </c>
      <c r="D17">
        <v>4807922.5</v>
      </c>
      <c r="E17">
        <v>0.957538</v>
      </c>
    </row>
    <row r="18" spans="1:5" x14ac:dyDescent="0.25">
      <c r="A18" s="3" t="s">
        <v>14</v>
      </c>
      <c r="B18" s="1" t="s">
        <v>8</v>
      </c>
      <c r="C18">
        <v>1937908.2</v>
      </c>
      <c r="D18">
        <v>1595543.68</v>
      </c>
      <c r="E18">
        <v>1.214575</v>
      </c>
    </row>
    <row r="19" spans="1:5" x14ac:dyDescent="0.25">
      <c r="A19" s="3" t="s">
        <v>14</v>
      </c>
      <c r="B19" s="1" t="s">
        <v>9</v>
      </c>
      <c r="C19">
        <v>4801847.26</v>
      </c>
      <c r="D19">
        <v>6849851.3799999999</v>
      </c>
      <c r="E19">
        <v>0.70101500000000005</v>
      </c>
    </row>
    <row r="20" spans="1:5" x14ac:dyDescent="0.25">
      <c r="A20" s="3" t="s">
        <v>14</v>
      </c>
      <c r="B20" s="1" t="s">
        <v>10</v>
      </c>
      <c r="C20">
        <v>4479086.5</v>
      </c>
      <c r="D20">
        <v>4771620</v>
      </c>
      <c r="E20">
        <v>0.938693</v>
      </c>
    </row>
    <row r="21" spans="1:5" x14ac:dyDescent="0.25">
      <c r="A21" s="3" t="s">
        <v>14</v>
      </c>
      <c r="B21" s="1" t="s">
        <v>11</v>
      </c>
      <c r="C21">
        <v>4263077.3</v>
      </c>
      <c r="D21">
        <v>4416284.5999999996</v>
      </c>
      <c r="E21">
        <v>0.96530899999999997</v>
      </c>
    </row>
    <row r="22" spans="1:5" x14ac:dyDescent="0.25">
      <c r="A22" s="3" t="s">
        <v>14</v>
      </c>
      <c r="B22" s="1" t="s">
        <v>12</v>
      </c>
      <c r="C22">
        <v>7589770.2000000002</v>
      </c>
      <c r="D22">
        <v>7602819.2000000002</v>
      </c>
      <c r="E22">
        <v>0.99828399999999995</v>
      </c>
    </row>
    <row r="23" spans="1:5" x14ac:dyDescent="0.25">
      <c r="A23" s="3" t="s">
        <v>15</v>
      </c>
      <c r="B23" s="1" t="s">
        <v>6</v>
      </c>
      <c r="C23">
        <v>19278565.140000001</v>
      </c>
      <c r="D23">
        <v>23656842.18</v>
      </c>
      <c r="E23">
        <v>0.81492600000000004</v>
      </c>
    </row>
    <row r="24" spans="1:5" x14ac:dyDescent="0.25">
      <c r="A24" s="3" t="s">
        <v>15</v>
      </c>
      <c r="B24" s="1" t="s">
        <v>7</v>
      </c>
      <c r="C24">
        <v>3275363.5</v>
      </c>
      <c r="D24">
        <v>4840571</v>
      </c>
      <c r="E24">
        <v>0.67664800000000003</v>
      </c>
    </row>
    <row r="25" spans="1:5" x14ac:dyDescent="0.25">
      <c r="A25" s="3" t="s">
        <v>15</v>
      </c>
      <c r="B25" s="1" t="s">
        <v>8</v>
      </c>
      <c r="C25">
        <v>2113062</v>
      </c>
      <c r="D25">
        <v>2418057.7000000002</v>
      </c>
      <c r="E25">
        <v>0.87386699999999995</v>
      </c>
    </row>
    <row r="26" spans="1:5" x14ac:dyDescent="0.25">
      <c r="A26" s="3" t="s">
        <v>15</v>
      </c>
      <c r="B26" s="1" t="s">
        <v>9</v>
      </c>
      <c r="C26">
        <v>4168892.52</v>
      </c>
      <c r="D26">
        <v>5314039.54</v>
      </c>
      <c r="E26">
        <v>0.78450500000000001</v>
      </c>
    </row>
    <row r="27" spans="1:5" x14ac:dyDescent="0.25">
      <c r="A27" s="3" t="s">
        <v>15</v>
      </c>
      <c r="B27" s="1" t="s">
        <v>10</v>
      </c>
      <c r="C27">
        <v>5150869</v>
      </c>
      <c r="D27">
        <v>5373126.5</v>
      </c>
      <c r="E27">
        <v>0.95863500000000001</v>
      </c>
    </row>
    <row r="28" spans="1:5" x14ac:dyDescent="0.25">
      <c r="A28" s="3" t="s">
        <v>15</v>
      </c>
      <c r="B28" s="1" t="s">
        <v>11</v>
      </c>
      <c r="C28">
        <v>4804098.5</v>
      </c>
      <c r="D28">
        <v>4793923.3</v>
      </c>
      <c r="E28">
        <v>1.0021230000000001</v>
      </c>
    </row>
    <row r="29" spans="1:5" x14ac:dyDescent="0.25">
      <c r="A29" s="3" t="s">
        <v>15</v>
      </c>
      <c r="B29" s="1" t="s">
        <v>12</v>
      </c>
      <c r="C29">
        <v>8391270.6999999993</v>
      </c>
      <c r="D29">
        <v>7996864.4000000004</v>
      </c>
      <c r="E29">
        <v>1.04932</v>
      </c>
    </row>
    <row r="30" spans="1:5" x14ac:dyDescent="0.25">
      <c r="A30" s="3" t="s">
        <v>16</v>
      </c>
      <c r="B30" s="1" t="s">
        <v>6</v>
      </c>
      <c r="C30">
        <v>14684698.039999999</v>
      </c>
      <c r="D30">
        <v>21487934.640000001</v>
      </c>
      <c r="E30">
        <v>0.68339300000000003</v>
      </c>
    </row>
    <row r="31" spans="1:5" x14ac:dyDescent="0.25">
      <c r="A31" s="3" t="s">
        <v>16</v>
      </c>
      <c r="B31" s="1" t="s">
        <v>7</v>
      </c>
      <c r="C31">
        <v>3825015.5</v>
      </c>
      <c r="D31">
        <v>3539973.5</v>
      </c>
      <c r="E31">
        <v>1.0805210000000001</v>
      </c>
    </row>
    <row r="32" spans="1:5" x14ac:dyDescent="0.25">
      <c r="A32" s="3" t="s">
        <v>16</v>
      </c>
      <c r="B32" s="1" t="s">
        <v>8</v>
      </c>
      <c r="C32">
        <v>2070261.08</v>
      </c>
      <c r="D32">
        <v>2113062</v>
      </c>
      <c r="E32">
        <v>0.97974499999999998</v>
      </c>
    </row>
    <row r="33" spans="1:5" x14ac:dyDescent="0.25">
      <c r="A33" s="3" t="s">
        <v>16</v>
      </c>
      <c r="B33" s="1" t="s">
        <v>9</v>
      </c>
      <c r="C33">
        <v>4571320.4400000004</v>
      </c>
      <c r="D33">
        <v>4168892.52</v>
      </c>
      <c r="E33">
        <v>1.0965309999999999</v>
      </c>
    </row>
    <row r="34" spans="1:5" x14ac:dyDescent="0.25">
      <c r="A34" s="3" t="s">
        <v>16</v>
      </c>
      <c r="B34" s="1" t="s">
        <v>10</v>
      </c>
      <c r="C34">
        <v>6417190.3600000003</v>
      </c>
      <c r="D34">
        <v>6785223.5599999996</v>
      </c>
      <c r="E34">
        <v>0.94576000000000005</v>
      </c>
    </row>
    <row r="35" spans="1:5" x14ac:dyDescent="0.25">
      <c r="A35" s="3" t="s">
        <v>16</v>
      </c>
      <c r="B35" s="1" t="s">
        <v>11</v>
      </c>
      <c r="C35">
        <v>4389318.5999999996</v>
      </c>
      <c r="D35">
        <v>4804098.5</v>
      </c>
      <c r="E35">
        <v>0.91366099999999995</v>
      </c>
    </row>
    <row r="36" spans="1:5" x14ac:dyDescent="0.25">
      <c r="A36" s="3" t="s">
        <v>16</v>
      </c>
      <c r="B36" s="1" t="s">
        <v>12</v>
      </c>
      <c r="C36">
        <v>7678032.2800000003</v>
      </c>
      <c r="D36">
        <v>8920450.6999999993</v>
      </c>
      <c r="E36">
        <v>0.86072199999999999</v>
      </c>
    </row>
    <row r="37" spans="1:5" x14ac:dyDescent="0.25">
      <c r="A37" s="3" t="s">
        <v>17</v>
      </c>
      <c r="B37" s="1" t="s">
        <v>6</v>
      </c>
      <c r="C37">
        <v>17450815.140000001</v>
      </c>
      <c r="D37">
        <v>16067470.039999999</v>
      </c>
      <c r="E37">
        <v>1.086096</v>
      </c>
    </row>
    <row r="38" spans="1:5" x14ac:dyDescent="0.25">
      <c r="A38" s="3" t="s">
        <v>17</v>
      </c>
      <c r="B38" s="1" t="s">
        <v>7</v>
      </c>
      <c r="C38">
        <v>3163865</v>
      </c>
      <c r="D38">
        <v>4146705.5</v>
      </c>
      <c r="E38">
        <v>0.76298299999999997</v>
      </c>
    </row>
    <row r="39" spans="1:5" x14ac:dyDescent="0.25">
      <c r="A39" s="3" t="s">
        <v>17</v>
      </c>
      <c r="B39" s="1" t="s">
        <v>8</v>
      </c>
      <c r="C39">
        <v>2584912.2999999998</v>
      </c>
      <c r="D39">
        <v>3996761.08</v>
      </c>
      <c r="E39">
        <v>0.64675199999999999</v>
      </c>
    </row>
    <row r="40" spans="1:5" x14ac:dyDescent="0.25">
      <c r="A40" s="3" t="s">
        <v>17</v>
      </c>
      <c r="B40" s="1" t="s">
        <v>9</v>
      </c>
      <c r="C40">
        <v>3538042.58</v>
      </c>
      <c r="D40">
        <v>4698360.4400000004</v>
      </c>
      <c r="E40">
        <v>0.75303799999999999</v>
      </c>
    </row>
    <row r="41" spans="1:5" x14ac:dyDescent="0.25">
      <c r="A41" s="3" t="s">
        <v>17</v>
      </c>
      <c r="B41" s="1" t="s">
        <v>10</v>
      </c>
      <c r="C41">
        <v>6907744</v>
      </c>
      <c r="D41">
        <v>7368670.3600000003</v>
      </c>
      <c r="E41">
        <v>0.93744799999999995</v>
      </c>
    </row>
    <row r="42" spans="1:5" x14ac:dyDescent="0.25">
      <c r="A42" s="3" t="s">
        <v>17</v>
      </c>
      <c r="B42" s="1" t="s">
        <v>11</v>
      </c>
      <c r="C42">
        <v>4809964.0999999996</v>
      </c>
      <c r="D42">
        <v>5438531</v>
      </c>
      <c r="E42">
        <v>0.88442299999999996</v>
      </c>
    </row>
    <row r="43" spans="1:5" x14ac:dyDescent="0.25">
      <c r="A43" s="3" t="s">
        <v>17</v>
      </c>
      <c r="B43" s="1" t="s">
        <v>12</v>
      </c>
      <c r="C43">
        <v>8596186</v>
      </c>
      <c r="D43">
        <v>8862602.2799999993</v>
      </c>
      <c r="E43">
        <v>0.969939</v>
      </c>
    </row>
    <row r="44" spans="1:5" x14ac:dyDescent="0.25">
      <c r="A44" s="3" t="s">
        <v>17</v>
      </c>
      <c r="B44" s="1" t="s">
        <v>18</v>
      </c>
      <c r="C44">
        <v>156000</v>
      </c>
      <c r="D44">
        <v>168000</v>
      </c>
      <c r="E44">
        <v>0.92857100000000004</v>
      </c>
    </row>
    <row r="45" spans="1:5" x14ac:dyDescent="0.25">
      <c r="A45" s="3" t="s">
        <v>19</v>
      </c>
      <c r="B45" s="1" t="s">
        <v>6</v>
      </c>
      <c r="C45">
        <v>15954150.1</v>
      </c>
      <c r="D45">
        <v>18513500.140000001</v>
      </c>
      <c r="E45">
        <v>0.86175800000000002</v>
      </c>
    </row>
    <row r="46" spans="1:5" x14ac:dyDescent="0.25">
      <c r="A46" s="3" t="s">
        <v>19</v>
      </c>
      <c r="B46" s="1" t="s">
        <v>7</v>
      </c>
      <c r="C46">
        <v>2465830.4</v>
      </c>
      <c r="D46">
        <v>3531255</v>
      </c>
      <c r="E46">
        <v>0.69828699999999999</v>
      </c>
    </row>
    <row r="47" spans="1:5" x14ac:dyDescent="0.25">
      <c r="A47" s="3" t="s">
        <v>19</v>
      </c>
      <c r="B47" s="1" t="s">
        <v>8</v>
      </c>
      <c r="C47">
        <v>2713440.22</v>
      </c>
      <c r="D47">
        <v>2584912.2999999998</v>
      </c>
      <c r="E47">
        <v>1.049722</v>
      </c>
    </row>
    <row r="48" spans="1:5" x14ac:dyDescent="0.25">
      <c r="A48" s="3" t="s">
        <v>19</v>
      </c>
      <c r="B48" s="1" t="s">
        <v>9</v>
      </c>
      <c r="C48">
        <v>3521905.82</v>
      </c>
      <c r="D48">
        <v>3538042.58</v>
      </c>
      <c r="E48">
        <v>0.99543899999999996</v>
      </c>
    </row>
    <row r="49" spans="1:5" x14ac:dyDescent="0.25">
      <c r="A49" s="3" t="s">
        <v>19</v>
      </c>
      <c r="B49" s="1" t="s">
        <v>10</v>
      </c>
      <c r="C49">
        <v>6493309.9199999999</v>
      </c>
      <c r="D49">
        <v>7232123</v>
      </c>
      <c r="E49">
        <v>0.89784299999999995</v>
      </c>
    </row>
    <row r="50" spans="1:5" x14ac:dyDescent="0.25">
      <c r="A50" s="3" t="s">
        <v>19</v>
      </c>
      <c r="B50" s="1" t="s">
        <v>11</v>
      </c>
      <c r="C50">
        <v>5081244.5</v>
      </c>
      <c r="D50">
        <v>5578256.2199999997</v>
      </c>
      <c r="E50">
        <v>0.91090199999999999</v>
      </c>
    </row>
    <row r="51" spans="1:5" x14ac:dyDescent="0.25">
      <c r="A51" s="3" t="s">
        <v>19</v>
      </c>
      <c r="B51" s="1" t="s">
        <v>12</v>
      </c>
      <c r="C51">
        <v>9348516.6199999992</v>
      </c>
      <c r="D51">
        <v>10336566</v>
      </c>
      <c r="E51">
        <v>0.90441199999999999</v>
      </c>
    </row>
    <row r="52" spans="1:5" x14ac:dyDescent="0.25">
      <c r="A52" s="3" t="s">
        <v>19</v>
      </c>
      <c r="B52" s="1" t="s">
        <v>18</v>
      </c>
      <c r="C52">
        <v>156000</v>
      </c>
      <c r="D52">
        <v>156000</v>
      </c>
      <c r="E52">
        <v>1</v>
      </c>
    </row>
    <row r="53" spans="1:5" x14ac:dyDescent="0.25">
      <c r="A53" s="3" t="s">
        <v>20</v>
      </c>
      <c r="B53" s="1" t="s">
        <v>6</v>
      </c>
      <c r="C53">
        <v>14510728.9</v>
      </c>
      <c r="D53">
        <v>16797820.100000001</v>
      </c>
      <c r="E53">
        <v>0.863846</v>
      </c>
    </row>
    <row r="54" spans="1:5" x14ac:dyDescent="0.25">
      <c r="A54" s="3" t="s">
        <v>20</v>
      </c>
      <c r="B54" s="1" t="s">
        <v>7</v>
      </c>
      <c r="C54">
        <v>1886230.76</v>
      </c>
      <c r="D54">
        <v>2465830.4</v>
      </c>
      <c r="E54">
        <v>0.76494700000000004</v>
      </c>
    </row>
    <row r="55" spans="1:5" x14ac:dyDescent="0.25">
      <c r="A55" s="3" t="s">
        <v>20</v>
      </c>
      <c r="B55" s="1" t="s">
        <v>8</v>
      </c>
      <c r="C55">
        <v>2576252.2799999998</v>
      </c>
      <c r="D55">
        <v>2713440.22</v>
      </c>
      <c r="E55">
        <v>0.94944099999999998</v>
      </c>
    </row>
    <row r="56" spans="1:5" x14ac:dyDescent="0.25">
      <c r="A56" s="3" t="s">
        <v>20</v>
      </c>
      <c r="B56" s="1" t="s">
        <v>9</v>
      </c>
      <c r="C56">
        <v>3738030.02</v>
      </c>
      <c r="D56">
        <v>3650345.34</v>
      </c>
      <c r="E56">
        <v>1.0240210000000001</v>
      </c>
    </row>
    <row r="57" spans="1:5" x14ac:dyDescent="0.25">
      <c r="A57" s="3" t="s">
        <v>20</v>
      </c>
      <c r="B57" s="1" t="s">
        <v>10</v>
      </c>
      <c r="C57">
        <v>7336247.5599999996</v>
      </c>
      <c r="D57">
        <v>7519564.3200000003</v>
      </c>
      <c r="E57">
        <v>0.97562099999999996</v>
      </c>
    </row>
    <row r="58" spans="1:5" x14ac:dyDescent="0.25">
      <c r="A58" s="3" t="s">
        <v>20</v>
      </c>
      <c r="B58" s="1" t="s">
        <v>11</v>
      </c>
      <c r="C58">
        <v>5866364.7599999998</v>
      </c>
      <c r="D58">
        <v>6214176.7000000002</v>
      </c>
      <c r="E58">
        <v>0.94402900000000001</v>
      </c>
    </row>
    <row r="59" spans="1:5" x14ac:dyDescent="0.25">
      <c r="A59" s="3" t="s">
        <v>20</v>
      </c>
      <c r="B59" s="1" t="s">
        <v>12</v>
      </c>
      <c r="C59">
        <v>8601256.6400000006</v>
      </c>
      <c r="D59">
        <v>9870706.9000000004</v>
      </c>
      <c r="E59">
        <v>0.87139200000000006</v>
      </c>
    </row>
    <row r="60" spans="1:5" x14ac:dyDescent="0.25">
      <c r="A60" s="3" t="s">
        <v>20</v>
      </c>
      <c r="B60" s="1" t="s">
        <v>18</v>
      </c>
      <c r="C60">
        <v>146100</v>
      </c>
      <c r="D60">
        <v>156000</v>
      </c>
      <c r="E60">
        <v>0.93653799999999998</v>
      </c>
    </row>
    <row r="61" spans="1:5" x14ac:dyDescent="0.25">
      <c r="A61" s="3" t="s">
        <v>21</v>
      </c>
      <c r="B61" s="1" t="s">
        <v>6</v>
      </c>
      <c r="C61">
        <v>13289945.039999999</v>
      </c>
      <c r="D61">
        <v>16928100.899999999</v>
      </c>
      <c r="E61">
        <v>0.78508199999999995</v>
      </c>
    </row>
    <row r="62" spans="1:5" x14ac:dyDescent="0.25">
      <c r="A62" s="3" t="s">
        <v>21</v>
      </c>
      <c r="B62" s="1" t="s">
        <v>7</v>
      </c>
      <c r="C62">
        <v>2016895.5</v>
      </c>
      <c r="D62">
        <v>2150120.7599999998</v>
      </c>
      <c r="E62">
        <v>0.93803800000000004</v>
      </c>
    </row>
    <row r="63" spans="1:5" x14ac:dyDescent="0.25">
      <c r="A63" s="3" t="s">
        <v>21</v>
      </c>
      <c r="B63" s="1" t="s">
        <v>8</v>
      </c>
      <c r="C63">
        <v>2828891.3</v>
      </c>
      <c r="D63">
        <v>2576252.2799999998</v>
      </c>
      <c r="E63">
        <v>1.0980650000000001</v>
      </c>
    </row>
    <row r="64" spans="1:5" x14ac:dyDescent="0.25">
      <c r="A64" s="3" t="s">
        <v>21</v>
      </c>
      <c r="B64" s="1" t="s">
        <v>9</v>
      </c>
      <c r="C64">
        <v>2822655.24</v>
      </c>
      <c r="D64">
        <v>3775300.02</v>
      </c>
      <c r="E64">
        <v>0.747664</v>
      </c>
    </row>
    <row r="65" spans="1:5" x14ac:dyDescent="0.25">
      <c r="A65" s="3" t="s">
        <v>21</v>
      </c>
      <c r="B65" s="1" t="s">
        <v>10</v>
      </c>
      <c r="C65">
        <v>6572010.1600000001</v>
      </c>
      <c r="D65">
        <v>7465047.5599999996</v>
      </c>
      <c r="E65">
        <v>0.88037100000000001</v>
      </c>
    </row>
    <row r="66" spans="1:5" x14ac:dyDescent="0.25">
      <c r="A66" s="3" t="s">
        <v>21</v>
      </c>
      <c r="B66" s="1" t="s">
        <v>11</v>
      </c>
      <c r="C66">
        <v>6693752.5</v>
      </c>
      <c r="D66">
        <v>7589954.7599999998</v>
      </c>
      <c r="E66">
        <v>0.88192300000000001</v>
      </c>
    </row>
    <row r="67" spans="1:5" x14ac:dyDescent="0.25">
      <c r="A67" s="3" t="s">
        <v>21</v>
      </c>
      <c r="B67" s="1" t="s">
        <v>12</v>
      </c>
      <c r="C67">
        <v>8481540.3800000008</v>
      </c>
      <c r="D67">
        <v>10082186.640000001</v>
      </c>
      <c r="E67">
        <v>0.84123999999999999</v>
      </c>
    </row>
    <row r="68" spans="1:5" x14ac:dyDescent="0.25">
      <c r="A68" s="3" t="s">
        <v>21</v>
      </c>
      <c r="B68" s="1" t="s">
        <v>18</v>
      </c>
      <c r="C68">
        <v>202040</v>
      </c>
      <c r="D68">
        <v>146100</v>
      </c>
      <c r="E68">
        <v>1.3828879999999999</v>
      </c>
    </row>
    <row r="69" spans="1:5" x14ac:dyDescent="0.25">
      <c r="A69" s="3" t="s">
        <v>22</v>
      </c>
      <c r="B69" s="1" t="s">
        <v>6</v>
      </c>
      <c r="C69">
        <v>16514965.720000001</v>
      </c>
      <c r="D69">
        <v>14958647.039999999</v>
      </c>
      <c r="E69">
        <v>1.1040410000000001</v>
      </c>
    </row>
    <row r="70" spans="1:5" x14ac:dyDescent="0.25">
      <c r="A70" s="3" t="s">
        <v>22</v>
      </c>
      <c r="B70" s="1" t="s">
        <v>7</v>
      </c>
      <c r="C70">
        <v>1876345.5</v>
      </c>
      <c r="D70">
        <v>2016895.5</v>
      </c>
      <c r="E70">
        <v>0.93031399999999997</v>
      </c>
    </row>
    <row r="71" spans="1:5" x14ac:dyDescent="0.25">
      <c r="A71" s="3" t="s">
        <v>22</v>
      </c>
      <c r="B71" s="1" t="s">
        <v>8</v>
      </c>
      <c r="C71">
        <v>2832563.96</v>
      </c>
      <c r="D71">
        <v>2828891.3</v>
      </c>
      <c r="E71">
        <v>1.001298</v>
      </c>
    </row>
    <row r="72" spans="1:5" x14ac:dyDescent="0.25">
      <c r="A72" s="3" t="s">
        <v>22</v>
      </c>
      <c r="B72" s="1" t="s">
        <v>9</v>
      </c>
      <c r="C72">
        <v>2628000.12</v>
      </c>
      <c r="D72">
        <v>4089138.24</v>
      </c>
      <c r="E72">
        <v>0.64267799999999997</v>
      </c>
    </row>
    <row r="73" spans="1:5" x14ac:dyDescent="0.25">
      <c r="A73" s="3" t="s">
        <v>22</v>
      </c>
      <c r="B73" s="1" t="s">
        <v>10</v>
      </c>
      <c r="C73">
        <v>6192294.5999999996</v>
      </c>
      <c r="D73">
        <v>6652460.1600000001</v>
      </c>
      <c r="E73">
        <v>0.93082799999999999</v>
      </c>
    </row>
    <row r="74" spans="1:5" x14ac:dyDescent="0.25">
      <c r="A74" s="3" t="s">
        <v>22</v>
      </c>
      <c r="B74" s="1" t="s">
        <v>11</v>
      </c>
      <c r="C74">
        <v>6002280.5</v>
      </c>
      <c r="D74">
        <v>7212604.5</v>
      </c>
      <c r="E74">
        <v>0.83219299999999996</v>
      </c>
    </row>
    <row r="75" spans="1:5" x14ac:dyDescent="0.25">
      <c r="A75" s="3" t="s">
        <v>22</v>
      </c>
      <c r="B75" s="1" t="s">
        <v>12</v>
      </c>
      <c r="C75">
        <v>8721269.3000000007</v>
      </c>
      <c r="D75">
        <v>8821540.3800000008</v>
      </c>
      <c r="E75">
        <v>0.98863299999999998</v>
      </c>
    </row>
    <row r="76" spans="1:5" x14ac:dyDescent="0.25">
      <c r="A76" s="3" t="s">
        <v>22</v>
      </c>
      <c r="B76" s="1" t="s">
        <v>18</v>
      </c>
      <c r="C76">
        <v>368270</v>
      </c>
      <c r="D76">
        <v>384940</v>
      </c>
      <c r="E76">
        <v>0.95669499999999996</v>
      </c>
    </row>
    <row r="77" spans="1:5" x14ac:dyDescent="0.25">
      <c r="A77" s="3" t="s">
        <v>23</v>
      </c>
      <c r="B77" s="1" t="s">
        <v>6</v>
      </c>
      <c r="C77">
        <v>13098334.199999999</v>
      </c>
      <c r="D77">
        <v>16843045.719999999</v>
      </c>
      <c r="E77">
        <v>0.77766999999999997</v>
      </c>
    </row>
    <row r="78" spans="1:5" x14ac:dyDescent="0.25">
      <c r="A78" s="3" t="s">
        <v>23</v>
      </c>
      <c r="B78" s="1" t="s">
        <v>7</v>
      </c>
      <c r="C78">
        <v>1611495.5</v>
      </c>
      <c r="D78">
        <v>1876345.5</v>
      </c>
      <c r="E78">
        <v>0.85884799999999994</v>
      </c>
    </row>
    <row r="79" spans="1:5" x14ac:dyDescent="0.25">
      <c r="A79" s="3" t="s">
        <v>23</v>
      </c>
      <c r="B79" s="1" t="s">
        <v>8</v>
      </c>
      <c r="C79">
        <v>2395030.02</v>
      </c>
      <c r="D79">
        <v>3146963.96</v>
      </c>
      <c r="E79">
        <v>0.76106099999999999</v>
      </c>
    </row>
    <row r="80" spans="1:5" x14ac:dyDescent="0.25">
      <c r="A80" s="3" t="s">
        <v>23</v>
      </c>
      <c r="B80" s="1" t="s">
        <v>9</v>
      </c>
      <c r="C80">
        <v>2246423.54</v>
      </c>
      <c r="D80">
        <v>2878000.12</v>
      </c>
      <c r="E80">
        <v>0.78054999999999997</v>
      </c>
    </row>
    <row r="81" spans="1:5" x14ac:dyDescent="0.25">
      <c r="A81" s="3" t="s">
        <v>23</v>
      </c>
      <c r="B81" s="1" t="s">
        <v>10</v>
      </c>
      <c r="C81">
        <v>6875537.8200000003</v>
      </c>
      <c r="D81">
        <v>7417390.5999999996</v>
      </c>
      <c r="E81">
        <v>0.92694799999999999</v>
      </c>
    </row>
    <row r="82" spans="1:5" x14ac:dyDescent="0.25">
      <c r="A82" s="3" t="s">
        <v>23</v>
      </c>
      <c r="B82" s="1" t="s">
        <v>11</v>
      </c>
      <c r="C82">
        <v>6672706.4800000004</v>
      </c>
      <c r="D82">
        <v>7236145.1799999997</v>
      </c>
      <c r="E82">
        <v>0.92213599999999996</v>
      </c>
    </row>
    <row r="83" spans="1:5" x14ac:dyDescent="0.25">
      <c r="A83" s="3" t="s">
        <v>23</v>
      </c>
      <c r="B83" s="1" t="s">
        <v>12</v>
      </c>
      <c r="C83">
        <v>8061440.1399999997</v>
      </c>
      <c r="D83">
        <v>9726074.9800000004</v>
      </c>
      <c r="E83">
        <v>0.82884800000000003</v>
      </c>
    </row>
    <row r="84" spans="1:5" x14ac:dyDescent="0.25">
      <c r="A84" s="3" t="s">
        <v>23</v>
      </c>
      <c r="B84" s="1" t="s">
        <v>18</v>
      </c>
      <c r="C84">
        <v>315800</v>
      </c>
      <c r="D84">
        <v>368270</v>
      </c>
      <c r="E84">
        <v>0.85752300000000004</v>
      </c>
    </row>
    <row r="85" spans="1:5" x14ac:dyDescent="0.25">
      <c r="A85" s="3" t="s">
        <v>24</v>
      </c>
      <c r="B85" s="1" t="s">
        <v>25</v>
      </c>
      <c r="C85">
        <v>0</v>
      </c>
      <c r="D85">
        <v>68000</v>
      </c>
      <c r="E85">
        <v>0</v>
      </c>
    </row>
    <row r="86" spans="1:5" x14ac:dyDescent="0.25">
      <c r="A86" s="3" t="s">
        <v>24</v>
      </c>
      <c r="B86" s="1" t="s">
        <v>6</v>
      </c>
      <c r="C86">
        <v>13079991.539999999</v>
      </c>
      <c r="D86">
        <v>13356814.199999999</v>
      </c>
      <c r="E86">
        <v>0.97927500000000001</v>
      </c>
    </row>
    <row r="87" spans="1:5" x14ac:dyDescent="0.25">
      <c r="A87" s="3" t="s">
        <v>24</v>
      </c>
      <c r="B87" s="1" t="s">
        <v>7</v>
      </c>
      <c r="C87">
        <v>1637675.5</v>
      </c>
      <c r="D87">
        <v>1611495.5</v>
      </c>
      <c r="E87">
        <v>1.016246</v>
      </c>
    </row>
    <row r="88" spans="1:5" x14ac:dyDescent="0.25">
      <c r="A88" s="3" t="s">
        <v>24</v>
      </c>
      <c r="B88" s="1" t="s">
        <v>8</v>
      </c>
      <c r="C88">
        <v>2364053.7999999998</v>
      </c>
      <c r="D88">
        <v>2975030.02</v>
      </c>
      <c r="E88">
        <v>0.79463200000000001</v>
      </c>
    </row>
    <row r="89" spans="1:5" x14ac:dyDescent="0.25">
      <c r="A89" s="3" t="s">
        <v>24</v>
      </c>
      <c r="B89" s="1" t="s">
        <v>9</v>
      </c>
      <c r="C89">
        <v>2823900</v>
      </c>
      <c r="D89">
        <v>2246423.54</v>
      </c>
      <c r="E89">
        <v>1.2570650000000001</v>
      </c>
    </row>
    <row r="90" spans="1:5" x14ac:dyDescent="0.25">
      <c r="A90" s="3" t="s">
        <v>24</v>
      </c>
      <c r="B90" s="1" t="s">
        <v>26</v>
      </c>
      <c r="C90">
        <v>218885.04</v>
      </c>
      <c r="D90">
        <v>196984</v>
      </c>
      <c r="E90">
        <v>1.1111819999999999</v>
      </c>
    </row>
    <row r="91" spans="1:5" x14ac:dyDescent="0.25">
      <c r="A91" s="3" t="s">
        <v>24</v>
      </c>
      <c r="B91" s="1" t="s">
        <v>10</v>
      </c>
      <c r="C91">
        <v>7220369.4800000004</v>
      </c>
      <c r="D91">
        <v>7094347.8200000003</v>
      </c>
      <c r="E91">
        <v>1.0177639999999999</v>
      </c>
    </row>
    <row r="92" spans="1:5" x14ac:dyDescent="0.25">
      <c r="A92" s="3" t="s">
        <v>24</v>
      </c>
      <c r="B92" s="1" t="s">
        <v>11</v>
      </c>
      <c r="C92">
        <v>6276659.2999999998</v>
      </c>
      <c r="D92">
        <v>7285746.4800000004</v>
      </c>
      <c r="E92">
        <v>0.86149799999999999</v>
      </c>
    </row>
    <row r="93" spans="1:5" x14ac:dyDescent="0.25">
      <c r="A93" s="3" t="s">
        <v>24</v>
      </c>
      <c r="B93" s="1" t="s">
        <v>12</v>
      </c>
      <c r="C93">
        <v>7751504.3200000003</v>
      </c>
      <c r="D93">
        <v>8061440.1399999997</v>
      </c>
      <c r="E93">
        <v>0.96155299999999999</v>
      </c>
    </row>
    <row r="94" spans="1:5" x14ac:dyDescent="0.25">
      <c r="A94" s="3" t="s">
        <v>24</v>
      </c>
      <c r="B94" s="1" t="s">
        <v>18</v>
      </c>
      <c r="C94">
        <v>100500</v>
      </c>
      <c r="D94">
        <v>315800</v>
      </c>
      <c r="E94">
        <v>0.31823899999999999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90CB-B095-49A7-8A60-BC8A58BCFAEE}">
  <dimension ref="A1:E11"/>
  <sheetViews>
    <sheetView workbookViewId="0">
      <selection activeCell="G13" sqref="G13"/>
    </sheetView>
  </sheetViews>
  <sheetFormatPr defaultRowHeight="15" x14ac:dyDescent="0.25"/>
  <cols>
    <col min="1" max="1" width="7.140625" bestFit="1" customWidth="1"/>
    <col min="2" max="2" width="31.140625" bestFit="1" customWidth="1"/>
    <col min="3" max="3" width="12.140625" bestFit="1" customWidth="1"/>
    <col min="4" max="4" width="12" bestFit="1" customWidth="1"/>
    <col min="5" max="5" width="13" bestFit="1" customWidth="1"/>
  </cols>
  <sheetData>
    <row r="1" spans="1:5" x14ac:dyDescent="0.25">
      <c r="A1" t="s">
        <v>27</v>
      </c>
      <c r="B1" t="s">
        <v>1</v>
      </c>
      <c r="C1" t="s">
        <v>28</v>
      </c>
      <c r="D1" t="s">
        <v>29</v>
      </c>
      <c r="E1" t="s">
        <v>30</v>
      </c>
    </row>
    <row r="2" spans="1:5" x14ac:dyDescent="0.25">
      <c r="A2">
        <v>2023</v>
      </c>
      <c r="B2" s="1" t="s">
        <v>25</v>
      </c>
      <c r="C2">
        <v>0</v>
      </c>
      <c r="D2">
        <v>68000</v>
      </c>
      <c r="E2">
        <v>0</v>
      </c>
    </row>
    <row r="3" spans="1:5" x14ac:dyDescent="0.25">
      <c r="A3">
        <v>2023</v>
      </c>
      <c r="B3" s="1" t="s">
        <v>6</v>
      </c>
      <c r="C3">
        <v>197343141.06</v>
      </c>
      <c r="D3">
        <v>221819985.75999999</v>
      </c>
      <c r="E3">
        <v>0.88965399999999994</v>
      </c>
    </row>
    <row r="4" spans="1:5" x14ac:dyDescent="0.25">
      <c r="A4">
        <v>2023</v>
      </c>
      <c r="B4" s="1" t="s">
        <v>7</v>
      </c>
      <c r="C4">
        <v>34988621.5</v>
      </c>
      <c r="D4">
        <v>45782692.420000002</v>
      </c>
      <c r="E4">
        <v>0.76423300000000005</v>
      </c>
    </row>
    <row r="5" spans="1:5" x14ac:dyDescent="0.25">
      <c r="A5">
        <v>2023</v>
      </c>
      <c r="B5" s="1" t="s">
        <v>8</v>
      </c>
      <c r="C5">
        <v>26830103.16</v>
      </c>
      <c r="D5">
        <v>30454815.539999999</v>
      </c>
      <c r="E5">
        <v>0.88098100000000001</v>
      </c>
    </row>
    <row r="6" spans="1:5" x14ac:dyDescent="0.25">
      <c r="A6">
        <v>2023</v>
      </c>
      <c r="B6" s="1" t="s">
        <v>9</v>
      </c>
      <c r="C6">
        <v>47589643.899999999</v>
      </c>
      <c r="D6">
        <v>54004818.32</v>
      </c>
      <c r="E6">
        <v>0.88121099999999997</v>
      </c>
    </row>
    <row r="7" spans="1:5" x14ac:dyDescent="0.25">
      <c r="A7">
        <v>2023</v>
      </c>
      <c r="B7" s="1" t="s">
        <v>26</v>
      </c>
      <c r="C7">
        <v>218885.04</v>
      </c>
      <c r="D7">
        <v>196984</v>
      </c>
      <c r="E7">
        <v>1.1111819999999999</v>
      </c>
    </row>
    <row r="8" spans="1:5" x14ac:dyDescent="0.25">
      <c r="A8">
        <v>2023</v>
      </c>
      <c r="B8" s="1" t="s">
        <v>10</v>
      </c>
      <c r="C8">
        <v>72101430.760000005</v>
      </c>
      <c r="D8">
        <v>81487233.739999995</v>
      </c>
      <c r="E8">
        <v>0.88481900000000002</v>
      </c>
    </row>
    <row r="9" spans="1:5" x14ac:dyDescent="0.25">
      <c r="A9">
        <v>2023</v>
      </c>
      <c r="B9" s="1" t="s">
        <v>11</v>
      </c>
      <c r="C9">
        <v>61740083.539999999</v>
      </c>
      <c r="D9">
        <v>67488550.840000004</v>
      </c>
      <c r="E9">
        <v>0.91482300000000005</v>
      </c>
    </row>
    <row r="10" spans="1:5" x14ac:dyDescent="0.25">
      <c r="A10">
        <v>2023</v>
      </c>
      <c r="B10" s="1" t="s">
        <v>12</v>
      </c>
      <c r="C10">
        <v>95051201.579999998</v>
      </c>
      <c r="D10">
        <v>105783258.14</v>
      </c>
      <c r="E10">
        <v>0.89854699999999998</v>
      </c>
    </row>
    <row r="11" spans="1:5" x14ac:dyDescent="0.25">
      <c r="A11">
        <v>2023</v>
      </c>
      <c r="B11" s="1" t="s">
        <v>18</v>
      </c>
      <c r="C11">
        <v>1444710</v>
      </c>
      <c r="D11">
        <v>1695110</v>
      </c>
      <c r="E11">
        <v>0.85228099999999996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F702-E836-4B2F-8EB9-003BDC680D82}">
  <dimension ref="A1:E13"/>
  <sheetViews>
    <sheetView workbookViewId="0">
      <selection sqref="A1:A1048576"/>
    </sheetView>
  </sheetViews>
  <sheetFormatPr defaultRowHeight="15" x14ac:dyDescent="0.25"/>
  <cols>
    <col min="1" max="1" width="10.42578125" style="2" bestFit="1" customWidth="1"/>
    <col min="2" max="2" width="6.7109375" bestFit="1" customWidth="1"/>
    <col min="3" max="4" width="12" bestFit="1" customWidth="1"/>
    <col min="5" max="5" width="9" bestFit="1" customWidth="1"/>
  </cols>
  <sheetData>
    <row r="1" spans="1: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44927</v>
      </c>
      <c r="B2" s="1" t="s">
        <v>31</v>
      </c>
      <c r="C2">
        <v>42924157.719999999</v>
      </c>
      <c r="D2">
        <v>58760761.359999999</v>
      </c>
      <c r="E2">
        <v>0.73048999999999997</v>
      </c>
    </row>
    <row r="3" spans="1:5" x14ac:dyDescent="0.25">
      <c r="A3" s="2">
        <v>44958</v>
      </c>
      <c r="B3" s="1" t="s">
        <v>31</v>
      </c>
      <c r="C3">
        <v>46660799.020000003</v>
      </c>
      <c r="D3">
        <v>48726956.520000003</v>
      </c>
      <c r="E3">
        <v>0.95759700000000003</v>
      </c>
    </row>
    <row r="4" spans="1:5" x14ac:dyDescent="0.25">
      <c r="A4" s="2">
        <v>44986</v>
      </c>
      <c r="B4" s="1" t="s">
        <v>31</v>
      </c>
      <c r="C4">
        <v>48507742.020000003</v>
      </c>
      <c r="D4">
        <v>53092533.119999997</v>
      </c>
      <c r="E4">
        <v>0.91364500000000004</v>
      </c>
    </row>
    <row r="5" spans="1:5" x14ac:dyDescent="0.25">
      <c r="A5" s="2">
        <v>45017</v>
      </c>
      <c r="B5" s="1" t="s">
        <v>31</v>
      </c>
      <c r="C5">
        <v>47182121.359999999</v>
      </c>
      <c r="D5">
        <v>54393424.619999997</v>
      </c>
      <c r="E5">
        <v>0.86742300000000006</v>
      </c>
    </row>
    <row r="6" spans="1:5" x14ac:dyDescent="0.25">
      <c r="A6" s="2">
        <v>45047</v>
      </c>
      <c r="B6" s="1" t="s">
        <v>31</v>
      </c>
      <c r="C6">
        <v>43635836.299999997</v>
      </c>
      <c r="D6">
        <v>51819635.420000002</v>
      </c>
      <c r="E6">
        <v>0.84207100000000001</v>
      </c>
    </row>
    <row r="7" spans="1:5" x14ac:dyDescent="0.25">
      <c r="A7" s="2">
        <v>45078</v>
      </c>
      <c r="B7" s="1" t="s">
        <v>31</v>
      </c>
      <c r="C7">
        <v>47207529.119999997</v>
      </c>
      <c r="D7">
        <v>50747100.700000003</v>
      </c>
      <c r="E7">
        <v>0.93025100000000005</v>
      </c>
    </row>
    <row r="8" spans="1:5" x14ac:dyDescent="0.25">
      <c r="A8" s="2">
        <v>45108</v>
      </c>
      <c r="B8" s="1" t="s">
        <v>31</v>
      </c>
      <c r="C8">
        <v>45734397.579999998</v>
      </c>
      <c r="D8">
        <v>51470655.240000002</v>
      </c>
      <c r="E8">
        <v>0.88855300000000004</v>
      </c>
    </row>
    <row r="9" spans="1:5" x14ac:dyDescent="0.25">
      <c r="A9" s="2">
        <v>45139</v>
      </c>
      <c r="B9" s="1" t="s">
        <v>31</v>
      </c>
      <c r="C9">
        <v>44661210.920000002</v>
      </c>
      <c r="D9">
        <v>49387883.979999997</v>
      </c>
      <c r="E9">
        <v>0.90429499999999996</v>
      </c>
    </row>
    <row r="10" spans="1:5" x14ac:dyDescent="0.25">
      <c r="A10" s="2">
        <v>45170</v>
      </c>
      <c r="B10" s="1" t="s">
        <v>31</v>
      </c>
      <c r="C10">
        <v>42907730.119999997</v>
      </c>
      <c r="D10">
        <v>50713062.920000002</v>
      </c>
      <c r="E10">
        <v>0.84608799999999995</v>
      </c>
    </row>
    <row r="11" spans="1:5" x14ac:dyDescent="0.25">
      <c r="A11" s="2">
        <v>45200</v>
      </c>
      <c r="B11" s="1" t="s">
        <v>31</v>
      </c>
      <c r="C11">
        <v>45135989.700000003</v>
      </c>
      <c r="D11">
        <v>46965117.119999997</v>
      </c>
      <c r="E11">
        <v>0.96105300000000005</v>
      </c>
    </row>
    <row r="12" spans="1:5" x14ac:dyDescent="0.25">
      <c r="A12" s="2">
        <v>45231</v>
      </c>
      <c r="B12" s="1" t="s">
        <v>31</v>
      </c>
      <c r="C12">
        <v>41276767.700000003</v>
      </c>
      <c r="D12">
        <v>49492236.060000002</v>
      </c>
      <c r="E12">
        <v>0.834005</v>
      </c>
    </row>
    <row r="13" spans="1:5" x14ac:dyDescent="0.25">
      <c r="A13" s="2">
        <v>45261</v>
      </c>
      <c r="B13" s="1" t="s">
        <v>31</v>
      </c>
      <c r="C13">
        <v>41473538.979999997</v>
      </c>
      <c r="D13">
        <v>43212081.700000003</v>
      </c>
      <c r="E13">
        <v>0.95976700000000004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A3B4-E173-4357-90A1-AE6BF2FFA484}">
  <dimension ref="A1:E2"/>
  <sheetViews>
    <sheetView workbookViewId="0"/>
  </sheetViews>
  <sheetFormatPr defaultRowHeight="15" x14ac:dyDescent="0.25"/>
  <cols>
    <col min="1" max="1" width="7.140625" bestFit="1" customWidth="1"/>
    <col min="2" max="2" width="6.7109375" bestFit="1" customWidth="1"/>
    <col min="3" max="3" width="12.140625" bestFit="1" customWidth="1"/>
    <col min="4" max="4" width="12" bestFit="1" customWidth="1"/>
    <col min="5" max="5" width="13" bestFit="1" customWidth="1"/>
  </cols>
  <sheetData>
    <row r="1" spans="1:5" x14ac:dyDescent="0.25">
      <c r="A1" t="s">
        <v>27</v>
      </c>
      <c r="B1" t="s">
        <v>1</v>
      </c>
      <c r="C1" t="s">
        <v>28</v>
      </c>
      <c r="D1" t="s">
        <v>29</v>
      </c>
      <c r="E1" t="s">
        <v>30</v>
      </c>
    </row>
    <row r="2" spans="1:5" x14ac:dyDescent="0.25">
      <c r="A2">
        <v>2023</v>
      </c>
      <c r="B2" s="1" t="s">
        <v>31</v>
      </c>
      <c r="C2">
        <v>537307820.53999996</v>
      </c>
      <c r="D2">
        <v>608781448.75999999</v>
      </c>
      <c r="E2">
        <v>0.88259600000000005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0020-2C81-4766-B8EE-4354AC8074D0}">
  <dimension ref="A1:E28"/>
  <sheetViews>
    <sheetView workbookViewId="0">
      <selection activeCell="F34" sqref="F34"/>
    </sheetView>
  </sheetViews>
  <sheetFormatPr defaultRowHeight="15" x14ac:dyDescent="0.25"/>
  <cols>
    <col min="1" max="1" width="10.42578125" style="2" bestFit="1" customWidth="1"/>
    <col min="2" max="2" width="31.140625" bestFit="1" customWidth="1"/>
    <col min="3" max="3" width="10" bestFit="1" customWidth="1"/>
    <col min="4" max="4" width="11" bestFit="1" customWidth="1"/>
    <col min="5" max="5" width="9" bestFit="1" customWidth="1"/>
  </cols>
  <sheetData>
    <row r="1" spans="1:5" x14ac:dyDescent="0.25">
      <c r="A1" s="2" t="s">
        <v>0</v>
      </c>
      <c r="B1" t="s">
        <v>1</v>
      </c>
      <c r="C1" t="s">
        <v>32</v>
      </c>
      <c r="D1" t="s">
        <v>33</v>
      </c>
      <c r="E1" t="s">
        <v>34</v>
      </c>
    </row>
    <row r="2" spans="1:5" x14ac:dyDescent="0.25">
      <c r="A2" s="2">
        <v>44927</v>
      </c>
      <c r="B2" s="1" t="s">
        <v>7</v>
      </c>
      <c r="C2">
        <v>146760</v>
      </c>
      <c r="D2">
        <v>327030</v>
      </c>
      <c r="E2">
        <v>0.448766</v>
      </c>
    </row>
    <row r="3" spans="1:5" x14ac:dyDescent="0.25">
      <c r="A3" s="2">
        <v>44927</v>
      </c>
      <c r="B3" s="1" t="s">
        <v>12</v>
      </c>
      <c r="C3">
        <v>146760</v>
      </c>
      <c r="D3">
        <v>216190</v>
      </c>
      <c r="E3">
        <v>0.67884699999999998</v>
      </c>
    </row>
    <row r="4" spans="1:5" x14ac:dyDescent="0.25">
      <c r="A4" s="2">
        <v>44958</v>
      </c>
      <c r="B4" s="1" t="s">
        <v>6</v>
      </c>
      <c r="C4">
        <v>1061550</v>
      </c>
      <c r="D4">
        <v>4647950</v>
      </c>
      <c r="E4">
        <v>0.22839100000000001</v>
      </c>
    </row>
    <row r="5" spans="1:5" x14ac:dyDescent="0.25">
      <c r="A5" s="2">
        <v>44958</v>
      </c>
      <c r="B5" s="1" t="s">
        <v>8</v>
      </c>
      <c r="C5">
        <v>171880</v>
      </c>
      <c r="D5">
        <v>189070</v>
      </c>
      <c r="E5">
        <v>0.90908100000000003</v>
      </c>
    </row>
    <row r="6" spans="1:5" x14ac:dyDescent="0.25">
      <c r="A6" s="2">
        <v>44958</v>
      </c>
      <c r="B6" s="1" t="s">
        <v>12</v>
      </c>
      <c r="C6">
        <v>265870</v>
      </c>
      <c r="D6">
        <v>1110145.52</v>
      </c>
      <c r="E6">
        <v>0.23949100000000001</v>
      </c>
    </row>
    <row r="7" spans="1:5" x14ac:dyDescent="0.25">
      <c r="A7" s="2">
        <v>44986</v>
      </c>
      <c r="B7" s="1" t="s">
        <v>6</v>
      </c>
      <c r="C7">
        <v>406644.47999999998</v>
      </c>
      <c r="D7">
        <v>452700</v>
      </c>
      <c r="E7">
        <v>0.89826499999999998</v>
      </c>
    </row>
    <row r="8" spans="1:5" x14ac:dyDescent="0.25">
      <c r="A8" s="2">
        <v>44986</v>
      </c>
      <c r="B8" s="1" t="s">
        <v>8</v>
      </c>
      <c r="C8">
        <v>135548.16</v>
      </c>
      <c r="D8">
        <v>425600</v>
      </c>
      <c r="E8">
        <v>0.31848700000000002</v>
      </c>
    </row>
    <row r="9" spans="1:5" x14ac:dyDescent="0.25">
      <c r="A9" s="2">
        <v>44986</v>
      </c>
      <c r="B9" s="1" t="s">
        <v>11</v>
      </c>
      <c r="C9">
        <v>110450</v>
      </c>
      <c r="D9">
        <v>96000</v>
      </c>
      <c r="E9">
        <v>1.1505209999999999</v>
      </c>
    </row>
    <row r="10" spans="1:5" x14ac:dyDescent="0.25">
      <c r="A10" s="2">
        <v>44986</v>
      </c>
      <c r="B10" s="1" t="s">
        <v>12</v>
      </c>
      <c r="C10">
        <v>91550</v>
      </c>
      <c r="D10">
        <v>1622997</v>
      </c>
      <c r="E10">
        <v>5.6408E-2</v>
      </c>
    </row>
    <row r="11" spans="1:5" x14ac:dyDescent="0.25">
      <c r="A11" s="2">
        <v>45017</v>
      </c>
      <c r="B11" s="1" t="s">
        <v>6</v>
      </c>
      <c r="C11">
        <v>482400</v>
      </c>
      <c r="D11">
        <v>1944443.5</v>
      </c>
      <c r="E11">
        <v>0.24809200000000001</v>
      </c>
    </row>
    <row r="12" spans="1:5" x14ac:dyDescent="0.25">
      <c r="A12" s="2">
        <v>45017</v>
      </c>
      <c r="B12" s="1" t="s">
        <v>10</v>
      </c>
      <c r="C12">
        <v>106440</v>
      </c>
      <c r="D12">
        <v>245290</v>
      </c>
      <c r="E12">
        <v>0.43393500000000002</v>
      </c>
    </row>
    <row r="13" spans="1:5" x14ac:dyDescent="0.25">
      <c r="A13" s="2">
        <v>45078</v>
      </c>
      <c r="B13" s="1" t="s">
        <v>6</v>
      </c>
      <c r="C13">
        <v>120945</v>
      </c>
      <c r="D13">
        <v>1905257</v>
      </c>
      <c r="E13">
        <v>6.3479999999999995E-2</v>
      </c>
    </row>
    <row r="14" spans="1:5" x14ac:dyDescent="0.25">
      <c r="A14" s="2">
        <v>45078</v>
      </c>
      <c r="B14" s="1" t="s">
        <v>7</v>
      </c>
      <c r="C14">
        <v>77265</v>
      </c>
      <c r="D14">
        <v>77265</v>
      </c>
      <c r="E14">
        <v>1</v>
      </c>
    </row>
    <row r="15" spans="1:5" x14ac:dyDescent="0.25">
      <c r="A15" s="2">
        <v>45078</v>
      </c>
      <c r="B15" s="1" t="s">
        <v>11</v>
      </c>
      <c r="C15">
        <v>205580</v>
      </c>
      <c r="D15">
        <v>404692</v>
      </c>
      <c r="E15">
        <v>0.50799099999999997</v>
      </c>
    </row>
    <row r="16" spans="1:5" x14ac:dyDescent="0.25">
      <c r="A16" s="2">
        <v>45078</v>
      </c>
      <c r="B16" s="1" t="s">
        <v>12</v>
      </c>
      <c r="C16">
        <v>194340</v>
      </c>
      <c r="D16">
        <v>664170</v>
      </c>
      <c r="E16">
        <v>0.29260599999999998</v>
      </c>
    </row>
    <row r="17" spans="1:5" x14ac:dyDescent="0.25">
      <c r="A17" s="2">
        <v>45108</v>
      </c>
      <c r="B17" s="1" t="s">
        <v>9</v>
      </c>
      <c r="C17">
        <v>128439.52</v>
      </c>
      <c r="D17">
        <v>634462.64</v>
      </c>
      <c r="E17">
        <v>0.20243800000000001</v>
      </c>
    </row>
    <row r="18" spans="1:5" x14ac:dyDescent="0.25">
      <c r="A18" s="2">
        <v>45108</v>
      </c>
      <c r="B18" s="1" t="s">
        <v>11</v>
      </c>
      <c r="C18">
        <v>388532.2</v>
      </c>
      <c r="D18">
        <v>570014.1</v>
      </c>
      <c r="E18">
        <v>0.68161899999999997</v>
      </c>
    </row>
    <row r="19" spans="1:5" x14ac:dyDescent="0.25">
      <c r="A19" s="2">
        <v>45108</v>
      </c>
      <c r="B19" s="1" t="s">
        <v>12</v>
      </c>
      <c r="C19">
        <v>128439.52</v>
      </c>
      <c r="D19">
        <v>362842.28</v>
      </c>
      <c r="E19">
        <v>0.35398200000000002</v>
      </c>
    </row>
    <row r="20" spans="1:5" x14ac:dyDescent="0.25">
      <c r="A20" s="2">
        <v>45139</v>
      </c>
      <c r="B20" s="1" t="s">
        <v>11</v>
      </c>
      <c r="C20">
        <v>313890</v>
      </c>
      <c r="D20">
        <v>202110</v>
      </c>
      <c r="E20">
        <v>1.5530649999999999</v>
      </c>
    </row>
    <row r="21" spans="1:5" x14ac:dyDescent="0.25">
      <c r="A21" s="2">
        <v>45139</v>
      </c>
      <c r="B21" s="1" t="s">
        <v>12</v>
      </c>
      <c r="C21">
        <v>689260</v>
      </c>
      <c r="D21">
        <v>1285280</v>
      </c>
      <c r="E21">
        <v>0.53627199999999997</v>
      </c>
    </row>
    <row r="22" spans="1:5" x14ac:dyDescent="0.25">
      <c r="A22" s="2">
        <v>45200</v>
      </c>
      <c r="B22" s="1" t="s">
        <v>6</v>
      </c>
      <c r="C22">
        <v>328080</v>
      </c>
      <c r="D22">
        <v>4462990</v>
      </c>
      <c r="E22">
        <v>7.3511000000000007E-2</v>
      </c>
    </row>
    <row r="23" spans="1:5" x14ac:dyDescent="0.25">
      <c r="A23" s="2">
        <v>45200</v>
      </c>
      <c r="B23" s="1" t="s">
        <v>10</v>
      </c>
      <c r="C23">
        <v>653436</v>
      </c>
      <c r="D23">
        <v>1051000</v>
      </c>
      <c r="E23">
        <v>0.62172799999999995</v>
      </c>
    </row>
    <row r="24" spans="1:5" x14ac:dyDescent="0.25">
      <c r="A24" s="2">
        <v>45200</v>
      </c>
      <c r="B24" s="1" t="s">
        <v>11</v>
      </c>
      <c r="C24">
        <v>602850</v>
      </c>
      <c r="D24">
        <v>1097212.3999999999</v>
      </c>
      <c r="E24">
        <v>0.54943799999999998</v>
      </c>
    </row>
    <row r="25" spans="1:5" x14ac:dyDescent="0.25">
      <c r="A25" s="2">
        <v>45231</v>
      </c>
      <c r="B25" s="1" t="s">
        <v>10</v>
      </c>
      <c r="C25">
        <v>128400</v>
      </c>
      <c r="D25">
        <v>489856.52</v>
      </c>
      <c r="E25">
        <v>0.26211800000000002</v>
      </c>
    </row>
    <row r="26" spans="1:5" x14ac:dyDescent="0.25">
      <c r="A26" s="2">
        <v>45261</v>
      </c>
      <c r="B26" s="1" t="s">
        <v>6</v>
      </c>
      <c r="C26">
        <v>175080</v>
      </c>
      <c r="D26">
        <v>3464615</v>
      </c>
      <c r="E26">
        <v>5.0534000000000003E-2</v>
      </c>
    </row>
    <row r="27" spans="1:5" x14ac:dyDescent="0.25">
      <c r="A27" s="2">
        <v>45261</v>
      </c>
      <c r="B27" s="1" t="s">
        <v>10</v>
      </c>
      <c r="C27">
        <v>261500</v>
      </c>
      <c r="D27">
        <v>234910</v>
      </c>
      <c r="E27">
        <v>1.113192</v>
      </c>
    </row>
    <row r="28" spans="1:5" x14ac:dyDescent="0.25">
      <c r="A28" s="2">
        <v>45261</v>
      </c>
      <c r="B28" s="1" t="s">
        <v>11</v>
      </c>
      <c r="C28">
        <v>107600</v>
      </c>
      <c r="D28">
        <v>490140</v>
      </c>
      <c r="E28">
        <v>0.219529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2117-8D3D-44CF-AC7F-FE058F16AE7A}">
  <dimension ref="A1:E8"/>
  <sheetViews>
    <sheetView workbookViewId="0"/>
  </sheetViews>
  <sheetFormatPr defaultRowHeight="15" x14ac:dyDescent="0.25"/>
  <cols>
    <col min="1" max="1" width="7.140625" bestFit="1" customWidth="1"/>
    <col min="2" max="2" width="31.140625" bestFit="1" customWidth="1"/>
    <col min="3" max="3" width="13.140625" bestFit="1" customWidth="1"/>
    <col min="4" max="4" width="12.5703125" bestFit="1" customWidth="1"/>
    <col min="5" max="5" width="13" bestFit="1" customWidth="1"/>
  </cols>
  <sheetData>
    <row r="1" spans="1:5" x14ac:dyDescent="0.25">
      <c r="A1" t="s">
        <v>27</v>
      </c>
      <c r="B1" t="s">
        <v>1</v>
      </c>
      <c r="C1" t="s">
        <v>35</v>
      </c>
      <c r="D1" t="s">
        <v>36</v>
      </c>
      <c r="E1" t="s">
        <v>37</v>
      </c>
    </row>
    <row r="2" spans="1:5" x14ac:dyDescent="0.25">
      <c r="A2">
        <v>2023</v>
      </c>
      <c r="B2" s="1" t="s">
        <v>6</v>
      </c>
      <c r="C2">
        <v>2574699.48</v>
      </c>
      <c r="D2">
        <v>16877955.5</v>
      </c>
      <c r="E2">
        <v>0.15254799999999999</v>
      </c>
    </row>
    <row r="3" spans="1:5" x14ac:dyDescent="0.25">
      <c r="A3">
        <v>2023</v>
      </c>
      <c r="B3" s="1" t="s">
        <v>7</v>
      </c>
      <c r="C3">
        <v>224025</v>
      </c>
      <c r="D3">
        <v>404295</v>
      </c>
      <c r="E3">
        <v>0.55411299999999997</v>
      </c>
    </row>
    <row r="4" spans="1:5" x14ac:dyDescent="0.25">
      <c r="A4">
        <v>2023</v>
      </c>
      <c r="B4" s="1" t="s">
        <v>8</v>
      </c>
      <c r="C4">
        <v>307428.15999999997</v>
      </c>
      <c r="D4">
        <v>614670</v>
      </c>
      <c r="E4">
        <v>0.50015200000000004</v>
      </c>
    </row>
    <row r="5" spans="1:5" x14ac:dyDescent="0.25">
      <c r="A5">
        <v>2023</v>
      </c>
      <c r="B5" s="1" t="s">
        <v>9</v>
      </c>
      <c r="C5">
        <v>128439.52</v>
      </c>
      <c r="D5">
        <v>634462.64</v>
      </c>
      <c r="E5">
        <v>0.20243800000000001</v>
      </c>
    </row>
    <row r="6" spans="1:5" x14ac:dyDescent="0.25">
      <c r="A6">
        <v>2023</v>
      </c>
      <c r="B6" s="1" t="s">
        <v>10</v>
      </c>
      <c r="C6">
        <v>1149776</v>
      </c>
      <c r="D6">
        <v>2021056.52</v>
      </c>
      <c r="E6">
        <v>0.56889800000000001</v>
      </c>
    </row>
    <row r="7" spans="1:5" x14ac:dyDescent="0.25">
      <c r="A7">
        <v>2023</v>
      </c>
      <c r="B7" s="1" t="s">
        <v>11</v>
      </c>
      <c r="C7">
        <v>1728902.2</v>
      </c>
      <c r="D7">
        <v>2860168.5</v>
      </c>
      <c r="E7">
        <v>0.60447600000000001</v>
      </c>
    </row>
    <row r="8" spans="1:5" x14ac:dyDescent="0.25">
      <c r="A8">
        <v>2023</v>
      </c>
      <c r="B8" s="1" t="s">
        <v>12</v>
      </c>
      <c r="C8">
        <v>1516219.52</v>
      </c>
      <c r="D8">
        <v>5261624.8</v>
      </c>
      <c r="E8">
        <v>0.28816599999999998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D678-D82F-4DBC-BCCA-94B3D75A24A1}">
  <dimension ref="A1:E11"/>
  <sheetViews>
    <sheetView workbookViewId="0">
      <selection sqref="A1:A1048576"/>
    </sheetView>
  </sheetViews>
  <sheetFormatPr defaultRowHeight="15" x14ac:dyDescent="0.25"/>
  <cols>
    <col min="1" max="1" width="10.42578125" style="2" bestFit="1" customWidth="1"/>
    <col min="2" max="2" width="6.7109375" bestFit="1" customWidth="1"/>
    <col min="3" max="3" width="10" bestFit="1" customWidth="1"/>
    <col min="4" max="4" width="11" bestFit="1" customWidth="1"/>
    <col min="5" max="5" width="9" bestFit="1" customWidth="1"/>
  </cols>
  <sheetData>
    <row r="1" spans="1:5" x14ac:dyDescent="0.25">
      <c r="A1" s="2" t="s">
        <v>0</v>
      </c>
      <c r="B1" t="s">
        <v>1</v>
      </c>
      <c r="C1" t="s">
        <v>32</v>
      </c>
      <c r="D1" t="s">
        <v>33</v>
      </c>
      <c r="E1" t="s">
        <v>34</v>
      </c>
    </row>
    <row r="2" spans="1:5" x14ac:dyDescent="0.25">
      <c r="A2" s="2">
        <v>44927</v>
      </c>
      <c r="B2" s="1" t="s">
        <v>31</v>
      </c>
      <c r="C2">
        <v>293520</v>
      </c>
      <c r="D2">
        <v>543220</v>
      </c>
      <c r="E2">
        <v>0.54033399999999998</v>
      </c>
    </row>
    <row r="3" spans="1:5" x14ac:dyDescent="0.25">
      <c r="A3" s="2">
        <v>44958</v>
      </c>
      <c r="B3" s="1" t="s">
        <v>31</v>
      </c>
      <c r="C3">
        <v>1499300</v>
      </c>
      <c r="D3">
        <v>5947165.5199999996</v>
      </c>
      <c r="E3">
        <v>0.25210300000000002</v>
      </c>
    </row>
    <row r="4" spans="1:5" x14ac:dyDescent="0.25">
      <c r="A4" s="2">
        <v>44986</v>
      </c>
      <c r="B4" s="1" t="s">
        <v>31</v>
      </c>
      <c r="C4">
        <v>744192.64</v>
      </c>
      <c r="D4">
        <v>2597297</v>
      </c>
      <c r="E4">
        <v>0.286526</v>
      </c>
    </row>
    <row r="5" spans="1:5" x14ac:dyDescent="0.25">
      <c r="A5" s="2">
        <v>45017</v>
      </c>
      <c r="B5" s="1" t="s">
        <v>31</v>
      </c>
      <c r="C5">
        <v>588840</v>
      </c>
      <c r="D5">
        <v>2189733.5</v>
      </c>
      <c r="E5">
        <v>0.26890900000000001</v>
      </c>
    </row>
    <row r="6" spans="1:5" x14ac:dyDescent="0.25">
      <c r="A6" s="2">
        <v>45078</v>
      </c>
      <c r="B6" s="1" t="s">
        <v>31</v>
      </c>
      <c r="C6">
        <v>598130</v>
      </c>
      <c r="D6">
        <v>3051384</v>
      </c>
      <c r="E6">
        <v>0.196019</v>
      </c>
    </row>
    <row r="7" spans="1:5" x14ac:dyDescent="0.25">
      <c r="A7" s="2">
        <v>45108</v>
      </c>
      <c r="B7" s="1" t="s">
        <v>31</v>
      </c>
      <c r="C7">
        <v>645411.24</v>
      </c>
      <c r="D7">
        <v>1567319.02</v>
      </c>
      <c r="E7">
        <v>0.41179300000000002</v>
      </c>
    </row>
    <row r="8" spans="1:5" x14ac:dyDescent="0.25">
      <c r="A8" s="2">
        <v>45139</v>
      </c>
      <c r="B8" s="1" t="s">
        <v>31</v>
      </c>
      <c r="C8">
        <v>1003150</v>
      </c>
      <c r="D8">
        <v>1487390</v>
      </c>
      <c r="E8">
        <v>0.67443600000000004</v>
      </c>
    </row>
    <row r="9" spans="1:5" x14ac:dyDescent="0.25">
      <c r="A9" s="2">
        <v>45200</v>
      </c>
      <c r="B9" s="1" t="s">
        <v>31</v>
      </c>
      <c r="C9">
        <v>1584366</v>
      </c>
      <c r="D9">
        <v>6611202.4000000004</v>
      </c>
      <c r="E9">
        <v>0.239649</v>
      </c>
    </row>
    <row r="10" spans="1:5" x14ac:dyDescent="0.25">
      <c r="A10" s="2">
        <v>45231</v>
      </c>
      <c r="B10" s="1" t="s">
        <v>31</v>
      </c>
      <c r="C10">
        <v>128400</v>
      </c>
      <c r="D10">
        <v>489856.52</v>
      </c>
      <c r="E10">
        <v>0.26211800000000002</v>
      </c>
    </row>
    <row r="11" spans="1:5" x14ac:dyDescent="0.25">
      <c r="A11" s="2">
        <v>45261</v>
      </c>
      <c r="B11" s="1" t="s">
        <v>31</v>
      </c>
      <c r="C11">
        <v>544180</v>
      </c>
      <c r="D11">
        <v>4189665</v>
      </c>
      <c r="E11">
        <v>0.129886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9306-B875-4B08-A6D3-E275EA5BA2BD}">
  <dimension ref="A1:E2"/>
  <sheetViews>
    <sheetView workbookViewId="0">
      <selection activeCell="H19" sqref="H19"/>
    </sheetView>
  </sheetViews>
  <sheetFormatPr defaultRowHeight="15" x14ac:dyDescent="0.25"/>
  <cols>
    <col min="1" max="1" width="7.140625" bestFit="1" customWidth="1"/>
    <col min="2" max="2" width="6.7109375" bestFit="1" customWidth="1"/>
    <col min="3" max="3" width="13.140625" bestFit="1" customWidth="1"/>
    <col min="4" max="4" width="12.5703125" bestFit="1" customWidth="1"/>
    <col min="5" max="5" width="13" bestFit="1" customWidth="1"/>
  </cols>
  <sheetData>
    <row r="1" spans="1:5" x14ac:dyDescent="0.25">
      <c r="A1" t="s">
        <v>27</v>
      </c>
      <c r="B1" t="s">
        <v>1</v>
      </c>
      <c r="C1" t="s">
        <v>35</v>
      </c>
      <c r="D1" t="s">
        <v>36</v>
      </c>
      <c r="E1" t="s">
        <v>37</v>
      </c>
    </row>
    <row r="2" spans="1:5" x14ac:dyDescent="0.25">
      <c r="A2">
        <v>2023</v>
      </c>
      <c r="B2" s="1" t="s">
        <v>31</v>
      </c>
      <c r="C2">
        <v>7629489.8799999999</v>
      </c>
      <c r="D2">
        <v>28674232.960000001</v>
      </c>
      <c r="E2">
        <v>0.26607500000000001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F071A-0A09-4FAD-BB09-8A56EAEABB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Dashboard</vt:lpstr>
      <vt:lpstr>coef1_by_am_month_2023</vt:lpstr>
      <vt:lpstr>coef1_by_am_year_2023</vt:lpstr>
      <vt:lpstr>coef1_dept_month_2023</vt:lpstr>
      <vt:lpstr>coef1_dept_year_2023</vt:lpstr>
      <vt:lpstr>coef2_by_am_month_2023</vt:lpstr>
      <vt:lpstr>coef2_by_am_year_2023</vt:lpstr>
      <vt:lpstr>coef2_dept_month_2023</vt:lpstr>
      <vt:lpstr>coef2_dept_year_2023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DIAO CHAN</dc:creator>
  <cp:lastModifiedBy>DIAO CHAN</cp:lastModifiedBy>
  <dcterms:created xsi:type="dcterms:W3CDTF">2015-06-05T18:19:34Z</dcterms:created>
  <dcterms:modified xsi:type="dcterms:W3CDTF">2025-11-03T05:34:24Z</dcterms:modified>
</cp:coreProperties>
</file>